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idiane\Desktop\Versão Final Provas Nacional 2022\SP - Desktop (ok)\"/>
    </mc:Choice>
  </mc:AlternateContent>
  <xr:revisionPtr revIDLastSave="0" documentId="13_ncr:1_{1EE1F7DA-09F2-472F-800B-4BAD372B0E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S Marking Scheme Import" sheetId="1" r:id="rId1"/>
    <sheet name="CheckList" sheetId="6" r:id="rId2"/>
  </sheets>
  <definedNames>
    <definedName name="_Toc50044235" localSheetId="0">'CIS Marking Scheme Import'!#REF!</definedName>
    <definedName name="_Toc50044236" localSheetId="0">'CIS Marking Scheme Import'!$E$42</definedName>
    <definedName name="_Toc50044237" localSheetId="0">'CIS Marking Scheme Import'!#REF!</definedName>
    <definedName name="_Toc50044239" localSheetId="0">'CIS Marking Scheme Import'!#REF!</definedName>
    <definedName name="_Toc50044240" localSheetId="0">'CIS Marking Scheme Import'!#REF!</definedName>
    <definedName name="_Toc50044243" localSheetId="0">'CIS Marking Scheme Import'!#REF!</definedName>
    <definedName name="_Toc50044244" localSheetId="0">'CIS Marking Scheme Import'!#REF!</definedName>
    <definedName name="_Toc50044246" localSheetId="0">'CIS Marking Scheme Import'!#REF!</definedName>
    <definedName name="_Toc52367979" localSheetId="0">'CIS Marking Scheme Import'!#REF!</definedName>
    <definedName name="_Toc52367982" localSheetId="0">'CIS Marking Scheme Import'!#REF!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L106" i="1"/>
  <c r="L194" i="1" l="1"/>
  <c r="I6" i="1"/>
  <c r="I7" i="1"/>
  <c r="I8" i="1"/>
  <c r="I9" i="1"/>
  <c r="I10" i="1"/>
  <c r="L49" i="1"/>
  <c r="L27" i="1"/>
  <c r="L40" i="1"/>
  <c r="L67" i="1"/>
</calcChain>
</file>

<file path=xl/sharedStrings.xml><?xml version="1.0" encoding="utf-8"?>
<sst xmlns="http://schemas.openxmlformats.org/spreadsheetml/2006/main" count="444" uniqueCount="246">
  <si>
    <t>Mark</t>
  </si>
  <si>
    <t>Aspect - Description</t>
  </si>
  <si>
    <t>Judg Score</t>
  </si>
  <si>
    <t>WSSS Section</t>
  </si>
  <si>
    <t>Max
Mark</t>
  </si>
  <si>
    <t>Total
Mark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</si>
  <si>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</si>
  <si>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</si>
  <si>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</si>
  <si>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</si>
  <si>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WorldSkills Standards Specification</t>
  </si>
  <si>
    <t>Section</t>
  </si>
  <si>
    <t>Name</t>
  </si>
  <si>
    <t>WSSS Marks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</si>
  <si>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</si>
  <si>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</si>
  <si>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</si>
  <si>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</si>
  <si>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</si>
  <si>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</si>
  <si>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</si>
  <si>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09 IT Software Solutions for Business</t>
  </si>
  <si>
    <t>A</t>
  </si>
  <si>
    <t>B</t>
  </si>
  <si>
    <t>C</t>
  </si>
  <si>
    <t>D</t>
  </si>
  <si>
    <t>E</t>
  </si>
  <si>
    <t>F</t>
  </si>
  <si>
    <t>G</t>
  </si>
  <si>
    <t>H</t>
  </si>
  <si>
    <t>I</t>
  </si>
  <si>
    <t/>
  </si>
  <si>
    <t>Criterion B</t>
  </si>
  <si>
    <t>B1</t>
  </si>
  <si>
    <t>Criterion C</t>
  </si>
  <si>
    <t>Criterion D</t>
  </si>
  <si>
    <t>D1</t>
  </si>
  <si>
    <t>Criterion E</t>
  </si>
  <si>
    <t>Criterion F</t>
  </si>
  <si>
    <t>M</t>
  </si>
  <si>
    <t>ok</t>
  </si>
  <si>
    <t xml:space="preserve">Preparação e organização do trabalho </t>
  </si>
  <si>
    <t xml:space="preserve">Comunicação e relação interpessoal </t>
  </si>
  <si>
    <t xml:space="preserve"> Solução de problemas, inovação e criatividade</t>
  </si>
  <si>
    <t>Análise e design de soluções de software</t>
  </si>
  <si>
    <t>Desenvolvimento de soluções de software</t>
  </si>
  <si>
    <t>Teste de soluções de software</t>
  </si>
  <si>
    <t>A1</t>
  </si>
  <si>
    <t>Sub
Criteria
ID</t>
  </si>
  <si>
    <t>Sub Criteria
Name or Description</t>
  </si>
  <si>
    <t>Requirement
or Nominal
Size (Measurement Only)</t>
  </si>
  <si>
    <t>A02 - Padrão de Interface</t>
  </si>
  <si>
    <t>Desktop - Proposta SP</t>
  </si>
  <si>
    <t>C1</t>
  </si>
  <si>
    <t>S1</t>
  </si>
  <si>
    <t>S2</t>
  </si>
  <si>
    <t>Mobile AL</t>
  </si>
  <si>
    <t>S3</t>
  </si>
  <si>
    <t>Desktop PR</t>
  </si>
  <si>
    <t>Mobile AppWs</t>
  </si>
  <si>
    <t>S4</t>
  </si>
  <si>
    <t>Web SP</t>
  </si>
  <si>
    <t>Desktop SP</t>
  </si>
  <si>
    <t>Web Extra</t>
  </si>
  <si>
    <t>Projeto</t>
  </si>
  <si>
    <t>CIS</t>
  </si>
  <si>
    <t>Funcionalidade</t>
  </si>
  <si>
    <t>Status</t>
  </si>
  <si>
    <t>OK</t>
  </si>
  <si>
    <t>DataFile</t>
  </si>
  <si>
    <t>Autenticação</t>
  </si>
  <si>
    <t>Login como usuário</t>
  </si>
  <si>
    <t>Esqueci Minha Senha</t>
  </si>
  <si>
    <t>Habilitar Nova Senha</t>
  </si>
  <si>
    <t>Lembrar Minha Senha</t>
  </si>
  <si>
    <t>estudo</t>
  </si>
  <si>
    <t>Cadastrar Usuário</t>
  </si>
  <si>
    <t>Validação</t>
  </si>
  <si>
    <t>Preenchimento Automático</t>
  </si>
  <si>
    <t>Salvar no bd</t>
  </si>
  <si>
    <t>Tela Principal</t>
  </si>
  <si>
    <t>Menu</t>
  </si>
  <si>
    <t>Editar Perfil</t>
  </si>
  <si>
    <t>Listagem Jogos</t>
  </si>
  <si>
    <t>Apresentar Jogos</t>
  </si>
  <si>
    <t>Filtro</t>
  </si>
  <si>
    <t>Ordenação jogos</t>
  </si>
  <si>
    <t>Destacar regra jogos</t>
  </si>
  <si>
    <t>Convidado</t>
  </si>
  <si>
    <t>Mostrar dados</t>
  </si>
  <si>
    <t>Foto Redonda</t>
  </si>
  <si>
    <t>Inserir Novo</t>
  </si>
  <si>
    <t>Destacar regra convidado</t>
  </si>
  <si>
    <t>Notificação</t>
  </si>
  <si>
    <t>Gerar Notificação</t>
  </si>
  <si>
    <t>Listar Notificação</t>
  </si>
  <si>
    <t>Notificação pelo Windows</t>
  </si>
  <si>
    <t>Visualização Hierárquica</t>
  </si>
  <si>
    <t>Ranking</t>
  </si>
  <si>
    <t>Dados Calculados</t>
  </si>
  <si>
    <t>estudar</t>
  </si>
  <si>
    <t>Adicionar 0,1 se apresentou a mensagem de email não cadastrado</t>
  </si>
  <si>
    <t>Adicionar 0,1 se mostrou tipo de campo certo (data ou texto)</t>
  </si>
  <si>
    <t>J</t>
  </si>
  <si>
    <t>Não utilizou nenhuma definição da Guia de Estilos</t>
  </si>
  <si>
    <t>Sessão Desktop SP - Comunicação</t>
  </si>
  <si>
    <t>Sessão Desktop SP - Solução de Problema e Inovação</t>
  </si>
  <si>
    <t xml:space="preserve">Sessão Desktop SP - Preparação e organização do trabalho </t>
  </si>
  <si>
    <t>Utilizou Todas as definições da Guia de estilos (em todas as telas)</t>
  </si>
  <si>
    <t>Adicionar 0,1 se apresentou todos os dados (data, hora, remetente, notificação e status)</t>
  </si>
  <si>
    <t>Sessão Desktop SP - Análise e design de soluções de software</t>
  </si>
  <si>
    <t>A07 – Cadastrar Convidado</t>
  </si>
  <si>
    <t>A06 – Lembrar minha senha</t>
  </si>
  <si>
    <t>A05 – Esqueci minha senha</t>
  </si>
  <si>
    <t>A04 – Autenticação</t>
  </si>
  <si>
    <t>Adicionar 0,05 se enviou campo preenchido e desabilitado</t>
  </si>
  <si>
    <t>Adicionar 0,1 se enviou validou apelido único</t>
  </si>
  <si>
    <t>Adicionar 0,1 se os outros usuários estão em ordem alfabética.</t>
  </si>
  <si>
    <t>A09 - Convidar Usuário / Revalidar Convite</t>
  </si>
  <si>
    <t>A03 - Apresentar Notificação</t>
  </si>
  <si>
    <t>Adicionar 0,3 se alterou o status.</t>
  </si>
  <si>
    <t>Adicionar 0,15 se inseriu ícone na área de trabalho</t>
  </si>
  <si>
    <t>Adicionar 0,20 se mostrou msg qdo servidor de bd tá fora</t>
  </si>
  <si>
    <t>Adicionar 0,1 se todos os campos da tela de login foram criados conforme modelo</t>
  </si>
  <si>
    <t>Adicionar 0,05 se colou o campo de senha.</t>
  </si>
  <si>
    <t>A08 – Listagem Convidado</t>
  </si>
  <si>
    <t>Adicionar 0,1 validou que todos os campos são obrigatórios</t>
  </si>
  <si>
    <t>A10 - Perfil do Usuário</t>
  </si>
  <si>
    <t>Adicionar 0,1 se mostrou imagem semFoto.png</t>
  </si>
  <si>
    <t>A13 - Visualização últimas 3 partidas</t>
  </si>
  <si>
    <t>Adicionar 0,2 se salvou os dados</t>
  </si>
  <si>
    <t>E1</t>
  </si>
  <si>
    <t>Sessão Desktop SP - Desenvolvimento de soluções de software</t>
  </si>
  <si>
    <t>F1</t>
  </si>
  <si>
    <t>Sessão Desktop SP - Teste de soluções de software</t>
  </si>
  <si>
    <t>Adicionar 0,1 se mostrou uma após a outra em janelas popoup diferentes</t>
  </si>
  <si>
    <t>Adicionar 0,1 se não apresentou o ícone Notificação caso especificou que não deseja receber notificação</t>
  </si>
  <si>
    <t>Adicionar 0,1 se alterou a senha no banco de dados.</t>
  </si>
  <si>
    <t>Adicionar 0,05 se apresentou a tela de alteração de senha</t>
  </si>
  <si>
    <t>Adicionar 0,2 se mostrou status correto do último jogo (Vitória ou Derrota)</t>
  </si>
  <si>
    <t>Adicionar 0,2 se mostrou status correto do penúltimo jogo (Vitória ou Derrota)</t>
  </si>
  <si>
    <t>Adicionar 0,2 se mostrou status correto do antepenúltimo jogo (Vitória ou Derrota)</t>
  </si>
  <si>
    <t>Adicionar 0,4 se mostrou o símbolo correto</t>
  </si>
  <si>
    <t>A01 -Serviço de BD Ativo + Instalador + Entrega</t>
  </si>
  <si>
    <t>Adicionar 0,1 se salvou o projeto no Servidor</t>
  </si>
  <si>
    <t>Adicionar 0,2 se gerou o executável e está funcionando</t>
  </si>
  <si>
    <t>Adicionar 0,2 se rodou o script do bando automaticamente</t>
  </si>
  <si>
    <t>Adicionar 0,05 se entregou documentação MER em pdf</t>
  </si>
  <si>
    <t>Adicionar 0,05 se entregou dicionário em pdf</t>
  </si>
  <si>
    <t>Adicionar 0,05 se entregou casos de uso em pdf</t>
  </si>
  <si>
    <t>Adicionar 0,1 se mostrou Notificação Pendente em janela popup</t>
  </si>
  <si>
    <t>Adicionar 0,1 se mostrou várias Notificações Pendentes em janela popup</t>
  </si>
  <si>
    <t>Adicionar 0,1 se ocultou o ícone no TaskBar</t>
  </si>
  <si>
    <t>Adicionar 0,2 se mostrou ícone Notificação Pendente</t>
  </si>
  <si>
    <t>Adicionar 0,1 se  abriu tela de login após email válido e apresentou tela de login com campo de email desabilitado</t>
  </si>
  <si>
    <t>Adicionar 0,1 se apresentou a mensagem de senha inválida na tela de login</t>
  </si>
  <si>
    <t>Adicionar 0,1 se apresentou a mensagem de Boas Vindas e mostrou tela principal</t>
  </si>
  <si>
    <t>Adicionar 0,1 se mostrou a 1ª pergunta</t>
  </si>
  <si>
    <t>Adicionar 0,1 se mostrou a próxima pergunta</t>
  </si>
  <si>
    <t>Adicionar 0,1 se mostrou a 1ª pergunta após mostrar todas</t>
  </si>
  <si>
    <t>Adicionar 0,1 se validou a resposta errada da pergunta e realizou os passos do item 12</t>
  </si>
  <si>
    <t>Adicionar 0,1 se validou a resposta certa da pergunta</t>
  </si>
  <si>
    <t>Adicionar 0,2 se criou a senha aleatória respeitando a regra.</t>
  </si>
  <si>
    <t>Adicionar 0,1 se funcionou contador</t>
  </si>
  <si>
    <t>Adicionar 0,25 se gravou a senha e entrou sem pedir autenticação</t>
  </si>
  <si>
    <t>Adicionar 0,25 se permite apagar senha gravada</t>
  </si>
  <si>
    <t>Adicionar 0,1 se apresentou a mensagem de data expirada</t>
  </si>
  <si>
    <t>Adicionar 0,1 se enviou Notificação</t>
  </si>
  <si>
    <t>Adicionar 0,1 se salvou os dados no banco de dados.</t>
  </si>
  <si>
    <t>Adicionar 0,05 se salvou a foto no banco de dados</t>
  </si>
  <si>
    <t>Adicionar 0,1 se apresentou a lista com o apelido dos usuários convidados do usuário logado.</t>
  </si>
  <si>
    <t>Adicionar 0,1 se apresentou os dias de cadastro ao passar o mouse.</t>
  </si>
  <si>
    <t>Adicionar 0,1 se aplica o filtro na lista</t>
  </si>
  <si>
    <t>Adicionar 0,1 se mostrou foto do usuário</t>
  </si>
  <si>
    <t>Adicionar 0,1 se apresentou os dados</t>
  </si>
  <si>
    <t>Adicionar 0,05 se mostrou o nome do time</t>
  </si>
  <si>
    <t>Adicionar 0,1 se mostrou a bandeira</t>
  </si>
  <si>
    <t>Adicionar 0,1 se mostrou o vitorias do time</t>
  </si>
  <si>
    <t>Adicionar 0,1 se mostrou o Empates do time</t>
  </si>
  <si>
    <t>Adicionar 0,1 se mostrou o Derrotas do time</t>
  </si>
  <si>
    <t>Adicionar 0,05 se mostrou o saldo de Gols do time</t>
  </si>
  <si>
    <t>Adicionar 0,05 se carregou ano das competições na caixa de combinação</t>
  </si>
  <si>
    <t>Adicionar 0,05 se mostrou Ano / Local da Competição</t>
  </si>
  <si>
    <t>Adicionar 0,1 se aplicou o filtro do ano</t>
  </si>
  <si>
    <t>Adicionar 0,1 se ordenou os dados por data</t>
  </si>
  <si>
    <t>Adicionar 0,2 se mostrou o dados no formato requerido</t>
  </si>
  <si>
    <t>Adicionar 0,2 se aplicou filtro no clique do rótulo</t>
  </si>
  <si>
    <t>Adicionar 0,1 se mostrou todas as tabelas</t>
  </si>
  <si>
    <t>Adicionar 0,2 se mostrou todos os atributos</t>
  </si>
  <si>
    <t>Adicionar 0,05 se mostrou tamanho</t>
  </si>
  <si>
    <t>Adicionar 0,05 se mostrou nome</t>
  </si>
  <si>
    <t>Adicionar 0,05 se mostrou permite Null</t>
  </si>
  <si>
    <t>Adicionar 0,05 se mostrou valor padrão</t>
  </si>
  <si>
    <t>Adicionar 0,05 se mostrou incremento de identidade</t>
  </si>
  <si>
    <t>Adicionar 0,1 se mostrou chave primária</t>
  </si>
  <si>
    <t>Adicionar 0,1 se apresentou relacionamentos</t>
  </si>
  <si>
    <t>Adicionar 0,05 se mostrou tipo de dados</t>
  </si>
  <si>
    <t>Adicionar 0,1 se criou valores default da RecebeNotificação</t>
  </si>
  <si>
    <t>Adicionar 0,1 se criou valores default da TimeFavorito</t>
  </si>
  <si>
    <t>Adicionar 0,1 se criou  valores default da dataConite</t>
  </si>
  <si>
    <t>A15 - Dicionário de Dados</t>
  </si>
  <si>
    <t>A16 - Descrição Caso de Uso</t>
  </si>
  <si>
    <t>Adicionar 0,05 para cada tabelas criadas (total 0,35)</t>
  </si>
  <si>
    <t>Adicionar 0,05 para cada especificação criada em cada tabela (total 0,35)</t>
  </si>
  <si>
    <t>Adicionar 0,1 para as pks e fks identificadas em todas as tabelas</t>
  </si>
  <si>
    <t>Adicionar 0,02 para cada PK criadas por tabela (total 0,14)</t>
  </si>
  <si>
    <t>Adicionar 0,02 para cada FK criada por tabela (total 0,14)</t>
  </si>
  <si>
    <t>Adicionar 0,22 para cada DEFAUL criada em todas as tabelas</t>
  </si>
  <si>
    <t>Adicionar 0,2 para cada CHECK criada em todas as tabelas</t>
  </si>
  <si>
    <t>Adicionar 0,3 se criou regra de status</t>
  </si>
  <si>
    <t>Adicionar 0,3 se criou regra para Placar 1 e Placar2</t>
  </si>
  <si>
    <t>Adicionar 0,1 se mostrou rótulo dos relacionamentos</t>
  </si>
  <si>
    <t>Adicionar 0,1 se mostrou tipos do relacionamento</t>
  </si>
  <si>
    <t xml:space="preserve">Adicionar 0,05 se implementou para os dois campos (cor e time favorito) </t>
  </si>
  <si>
    <t>A11 - Menu Jogos</t>
  </si>
  <si>
    <t>A12 – Menu Ranking</t>
  </si>
  <si>
    <t>Adicionar 0,4 para nome e objetivo de acordo</t>
  </si>
  <si>
    <t>Adicionar 0,4 para ator e pré-condição de acordo</t>
  </si>
  <si>
    <t>Adicionar 0,4 para fluxo principal e alternativo de acordo</t>
  </si>
  <si>
    <t>Adicionar 0,4 para pós condição e regra de negócio de acordo</t>
  </si>
  <si>
    <t>Adicionar 0,05 se mostrou o os anos cadastrados</t>
  </si>
  <si>
    <t>Adicionar 0,05 se carregou os dados do ano selecionado</t>
  </si>
  <si>
    <t>Adicionar 0,05 se mostrou o sequencial</t>
  </si>
  <si>
    <t>Adicionar 0,15 se mostrou o pontos do time</t>
  </si>
  <si>
    <t>Adicionar 0,1 se mostrou o Gols Contra do time</t>
  </si>
  <si>
    <t>Adicionar 0,1 se mostrou o Gols Pró do time</t>
  </si>
  <si>
    <t>Adicionar 0,1 se destacou texto do nome em azul time que ganhou</t>
  </si>
  <si>
    <t>Adicionar 0,1 se destacou fundo do nome em amarelo os times com empate</t>
  </si>
  <si>
    <t>Adicionar 0,05 se verificou email já cadastrado e apresentou mensagem</t>
  </si>
  <si>
    <t>Adicionar 0,15 se cadastrou o email como usuário convidado</t>
  </si>
  <si>
    <t>Adicionar 0,1 se atualizou a lista automaticamente</t>
  </si>
  <si>
    <t>Adicionar 0,05 se apresentou o status Pendente</t>
  </si>
  <si>
    <t>Adicionar 0,05 se apresentou o status Cadastrado</t>
  </si>
  <si>
    <t>Adicionar 0,1 se apresentou o status Expirado</t>
  </si>
  <si>
    <t>Adicionar 0,2 se apresentou a foto cadastrada no formato circular.</t>
  </si>
  <si>
    <t>Adicionar 0,1 se destacou em amarelo os usuários não cadastrados.</t>
  </si>
  <si>
    <t>Adicionar 0,1 se destacou em vermelho os usuários expirados.</t>
  </si>
  <si>
    <t>Adicionar 0,2 se apresentou o status em um botão com bordas arredondadas</t>
  </si>
  <si>
    <t>Adicionar 0,30 se fez o preenchimento automático para um dos campos.</t>
  </si>
  <si>
    <t>Adicionar 0,15 se apresentou a foto selecionada</t>
  </si>
  <si>
    <t>Adicionar 0,2 funcionou apresentou as bolinhas vermelhas</t>
  </si>
  <si>
    <t>Adicionar 0,15 se alterou o status para Lido</t>
  </si>
  <si>
    <t>Adicionar 0,15 se dados estão ordenados por data</t>
  </si>
  <si>
    <t>Utilizou pelo menos 2 das definições da Guia de estilos (em todas as telas)</t>
  </si>
  <si>
    <t>Utilizou pelo menos 4 das definições da Guia de estilos (em todas as telas)</t>
  </si>
  <si>
    <t>A14 - Documentação 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</si>
</sst>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/>
      <right style="medium">
        <color indexed="8"/>
      </right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0" fillId="0" borderId="0" xfId="0"/>
    <xf numFmtId="0" fontId="2" fillId="4" borderId="11" xfId="0" applyFont="1" applyFill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1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/>
    <xf numFmtId="0" fontId="2" fillId="0" borderId="7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9" fillId="0" borderId="11" xfId="0" applyFont="1" applyBorder="1" applyAlignment="1">
      <alignment horizontal="left" vertical="center"/>
    </xf>
    <xf numFmtId="0" fontId="0" fillId="0" borderId="0" xfId="0"/>
    <xf numFmtId="0" fontId="0" fillId="0" borderId="0" xfId="0"/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2" fontId="9" fillId="0" borderId="11" xfId="0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/>
    </xf>
    <xf numFmtId="0" fontId="0" fillId="0" borderId="0" xfId="0"/>
    <xf numFmtId="0" fontId="9" fillId="0" borderId="11" xfId="0" applyFont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 wrapText="1"/>
    </xf>
    <xf numFmtId="0" fontId="0" fillId="5" borderId="23" xfId="0" applyFont="1" applyFill="1" applyBorder="1"/>
    <xf numFmtId="0" fontId="10" fillId="6" borderId="23" xfId="0" applyFont="1" applyFill="1" applyBorder="1"/>
    <xf numFmtId="0" fontId="0" fillId="5" borderId="23" xfId="0" applyFill="1" applyBorder="1"/>
    <xf numFmtId="0" fontId="0" fillId="0" borderId="0" xfId="0"/>
    <xf numFmtId="0" fontId="0" fillId="0" borderId="0" xfId="0"/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2" fontId="9" fillId="0" borderId="30" xfId="0" applyNumberFormat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" fillId="4" borderId="16" xfId="0" applyFont="1" applyFill="1" applyBorder="1" applyAlignment="1">
      <alignment horizontal="left"/>
    </xf>
    <xf numFmtId="0" fontId="2" fillId="0" borderId="16" xfId="0" applyFont="1" applyBorder="1" applyAlignment="1">
      <alignment horizontal="left" vertical="center"/>
    </xf>
    <xf numFmtId="0" fontId="2" fillId="4" borderId="7" xfId="0" applyFont="1" applyFill="1" applyBorder="1" applyAlignment="1">
      <alignment horizontal="left"/>
    </xf>
    <xf numFmtId="0" fontId="0" fillId="0" borderId="0" xfId="0"/>
    <xf numFmtId="0" fontId="0" fillId="0" borderId="0" xfId="0"/>
    <xf numFmtId="0" fontId="9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/>
    </xf>
    <xf numFmtId="0" fontId="2" fillId="0" borderId="19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0" fillId="0" borderId="0" xfId="0"/>
    <xf numFmtId="0" fontId="2" fillId="0" borderId="1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0" fillId="0" borderId="10" xfId="0" applyFont="1" applyBorder="1"/>
    <xf numFmtId="0" fontId="2" fillId="0" borderId="19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0" fillId="0" borderId="19" xfId="0" applyFont="1" applyFill="1" applyBorder="1"/>
    <xf numFmtId="0" fontId="0" fillId="0" borderId="0" xfId="0" applyFont="1" applyFill="1"/>
    <xf numFmtId="0" fontId="11" fillId="0" borderId="0" xfId="0" applyFont="1" applyAlignment="1">
      <alignment vertical="center"/>
    </xf>
    <xf numFmtId="0" fontId="0" fillId="0" borderId="0" xfId="0"/>
    <xf numFmtId="0" fontId="6" fillId="3" borderId="2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0" fillId="0" borderId="0" xfId="0"/>
    <xf numFmtId="0" fontId="0" fillId="4" borderId="11" xfId="0" applyNumberFormat="1" applyFont="1" applyFill="1" applyBorder="1"/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0" fillId="4" borderId="12" xfId="0" applyNumberFormat="1" applyFont="1" applyFill="1" applyBorder="1"/>
    <xf numFmtId="0" fontId="0" fillId="4" borderId="13" xfId="0" applyNumberFormat="1" applyFont="1" applyFill="1" applyBorder="1"/>
    <xf numFmtId="0" fontId="10" fillId="6" borderId="24" xfId="0" applyFont="1" applyFill="1" applyBorder="1" applyAlignment="1">
      <alignment horizontal="left"/>
    </xf>
    <xf numFmtId="0" fontId="10" fillId="6" borderId="25" xfId="0" applyFont="1" applyFill="1" applyBorder="1" applyAlignment="1">
      <alignment horizontal="left"/>
    </xf>
    <xf numFmtId="0" fontId="0" fillId="5" borderId="26" xfId="0" applyFont="1" applyFill="1" applyBorder="1" applyAlignment="1">
      <alignment horizontal="left" vertical="top"/>
    </xf>
    <xf numFmtId="0" fontId="0" fillId="5" borderId="27" xfId="0" applyFont="1" applyFill="1" applyBorder="1" applyAlignment="1">
      <alignment horizontal="left" vertical="top"/>
    </xf>
    <xf numFmtId="0" fontId="0" fillId="5" borderId="28" xfId="0" applyFont="1" applyFill="1" applyBorder="1" applyAlignment="1">
      <alignment horizontal="left" vertical="top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2"/>
  <sheetViews>
    <sheetView tabSelected="1" topLeftCell="A91" zoomScale="80" zoomScaleNormal="80" workbookViewId="0">
      <selection activeCell="F123" sqref="F123"/>
    </sheetView>
  </sheetViews>
  <sheetFormatPr defaultColWidth="8.77734375" defaultRowHeight="13.8" customHeight="1" x14ac:dyDescent="0.25"/>
  <cols>
    <col min="1" max="1" width="12.21875" customWidth="1"/>
    <col min="2" max="2" width="55.21875" customWidth="1"/>
    <col min="3" max="3" width="10.6640625" customWidth="1"/>
    <col min="4" max="4" width="36.77734375" customWidth="1"/>
    <col min="5" max="5" width="12.5546875" hidden="1" customWidth="1"/>
    <col min="6" max="6" width="79.33203125" customWidth="1"/>
    <col min="7" max="7" width="6.88671875" customWidth="1"/>
    <col min="8" max="8" width="15.44140625" customWidth="1"/>
    <col min="9" max="9" width="11.33203125" customWidth="1"/>
    <col min="10" max="10" width="15.44140625" customWidth="1"/>
    <col min="11" max="11" width="10.6640625" customWidth="1"/>
    <col min="12" max="12" width="8.77734375" customWidth="1"/>
    <col min="14" max="14" width="10.6640625" bestFit="1" customWidth="1"/>
    <col min="15" max="15" width="44" customWidth="1"/>
  </cols>
  <sheetData>
    <row r="1" spans="1:20" ht="13.8" customHeight="1" thickBot="1" x14ac:dyDescent="0.3">
      <c r="A1" s="145" t="s">
        <v>21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</row>
    <row r="2" spans="1:20" ht="13.8" customHeight="1" thickBot="1" x14ac:dyDescent="0.3">
      <c r="C2" s="2"/>
      <c r="E2" s="2"/>
      <c r="J2" s="2"/>
    </row>
    <row r="3" spans="1:20" ht="13.8" customHeight="1" thickBot="1" x14ac:dyDescent="0.3">
      <c r="A3" s="142" t="s">
        <v>10</v>
      </c>
      <c r="B3" s="143"/>
      <c r="C3" s="143"/>
      <c r="D3" s="143"/>
      <c r="E3" s="143"/>
      <c r="F3" s="143"/>
      <c r="G3" s="143"/>
      <c r="H3" s="143"/>
      <c r="I3" s="143"/>
      <c r="J3" s="143"/>
      <c r="K3" s="144"/>
    </row>
    <row r="4" spans="1:20" ht="13.8" customHeight="1" thickBot="1" x14ac:dyDescent="0.3">
      <c r="A4" s="86" t="s">
        <v>11</v>
      </c>
      <c r="B4" s="139" t="s">
        <v>13</v>
      </c>
      <c r="C4" s="140"/>
      <c r="D4" s="140"/>
      <c r="E4" s="140"/>
      <c r="F4" s="140"/>
      <c r="G4" s="140"/>
      <c r="H4" s="141"/>
      <c r="I4" s="90" t="s">
        <v>13</v>
      </c>
      <c r="J4" s="10" t="s">
        <v>14</v>
      </c>
      <c r="K4" s="10" t="s">
        <v>18</v>
      </c>
    </row>
    <row r="5" spans="1:20" ht="13.8" customHeight="1" x14ac:dyDescent="0.25">
      <c r="A5" s="87">
        <v>1</v>
      </c>
      <c r="B5" s="148" t="s">
        <v>52</v>
      </c>
      <c r="C5" s="148"/>
      <c r="D5" s="148"/>
      <c r="E5" s="148"/>
      <c r="F5" s="148"/>
      <c r="G5" s="148"/>
      <c r="H5" s="148"/>
      <c r="I5" s="59">
        <v>16.7</v>
      </c>
      <c r="J5" s="16"/>
      <c r="K5" s="16"/>
      <c r="L5" s="61"/>
      <c r="M5" s="61"/>
    </row>
    <row r="6" spans="1:20" ht="13.8" customHeight="1" x14ac:dyDescent="0.25">
      <c r="A6" s="87">
        <v>2</v>
      </c>
      <c r="B6" s="148"/>
      <c r="C6" s="148"/>
      <c r="D6" s="148"/>
      <c r="E6" s="148"/>
      <c r="F6" s="148"/>
      <c r="G6" s="148"/>
      <c r="H6" s="148"/>
      <c r="I6" s="59">
        <f>SUMIF(H29:H202,A6,I29:I202)</f>
        <v>0</v>
      </c>
      <c r="J6" s="16"/>
      <c r="K6" s="16"/>
      <c r="L6" s="61"/>
      <c r="M6" s="61"/>
    </row>
    <row r="7" spans="1:20" ht="13.8" customHeight="1" x14ac:dyDescent="0.25">
      <c r="A7" s="87">
        <v>3</v>
      </c>
      <c r="B7" s="148"/>
      <c r="C7" s="148"/>
      <c r="D7" s="148"/>
      <c r="E7" s="148"/>
      <c r="F7" s="148"/>
      <c r="G7" s="148"/>
      <c r="H7" s="148"/>
      <c r="I7" s="59">
        <f>SUMIF(H30:H202,A7,I30:I202)</f>
        <v>0</v>
      </c>
      <c r="J7" s="16"/>
      <c r="K7" s="16"/>
      <c r="L7" s="61"/>
      <c r="M7" s="61"/>
    </row>
    <row r="8" spans="1:20" ht="13.8" customHeight="1" x14ac:dyDescent="0.25">
      <c r="A8" s="87">
        <v>4</v>
      </c>
      <c r="B8" s="148"/>
      <c r="C8" s="148"/>
      <c r="D8" s="148"/>
      <c r="E8" s="148"/>
      <c r="F8" s="148"/>
      <c r="G8" s="148"/>
      <c r="H8" s="148"/>
      <c r="I8" s="59">
        <f>SUMIF(H31:H202,A8,I31:I202)</f>
        <v>0</v>
      </c>
      <c r="J8" s="16"/>
      <c r="K8" s="16"/>
      <c r="L8" s="61"/>
      <c r="M8" s="61"/>
    </row>
    <row r="9" spans="1:20" s="65" customFormat="1" ht="13.8" customHeight="1" x14ac:dyDescent="0.25">
      <c r="A9" s="88">
        <v>5</v>
      </c>
      <c r="B9" s="148"/>
      <c r="C9" s="148"/>
      <c r="D9" s="148"/>
      <c r="E9" s="148"/>
      <c r="F9" s="148"/>
      <c r="G9" s="148"/>
      <c r="H9" s="148"/>
      <c r="I9" s="59">
        <f>SUMIF(H32:H202,A9,I32:I202)</f>
        <v>0</v>
      </c>
      <c r="J9" s="59"/>
      <c r="K9" s="59"/>
      <c r="M9" s="3"/>
    </row>
    <row r="10" spans="1:20" ht="13.8" customHeight="1" thickBot="1" x14ac:dyDescent="0.3">
      <c r="A10" s="89">
        <v>6</v>
      </c>
      <c r="B10" s="148"/>
      <c r="C10" s="148"/>
      <c r="D10" s="148"/>
      <c r="E10" s="148"/>
      <c r="F10" s="148"/>
      <c r="G10" s="148"/>
      <c r="H10" s="148"/>
      <c r="I10" s="59">
        <f>SUMIF(H33:H202,A10,I33:I202)</f>
        <v>0</v>
      </c>
      <c r="J10" s="19"/>
      <c r="K10" s="19"/>
      <c r="L10" s="61"/>
      <c r="M10" s="61"/>
    </row>
    <row r="11" spans="1:20" ht="13.8" customHeight="1" thickBot="1" x14ac:dyDescent="0.3">
      <c r="C11" s="8"/>
      <c r="E11" s="8"/>
      <c r="I11" s="149" t="s">
        <v>20</v>
      </c>
      <c r="J11" s="150"/>
      <c r="K11" s="19">
        <f>SUM(K16:K21)</f>
        <v>16.7</v>
      </c>
    </row>
    <row r="12" spans="1:20" ht="13.8" customHeight="1" x14ac:dyDescent="0.25">
      <c r="C12" s="8"/>
      <c r="E12" s="8"/>
      <c r="I12" s="12"/>
      <c r="J12" s="12"/>
      <c r="K12" s="13"/>
      <c r="O12" s="64"/>
      <c r="P12" s="64"/>
      <c r="Q12" s="64"/>
      <c r="R12" s="64"/>
      <c r="S12" s="64"/>
      <c r="T12" s="64"/>
    </row>
    <row r="13" spans="1:20" ht="13.8" customHeight="1" thickBot="1" x14ac:dyDescent="0.3">
      <c r="C13" s="8"/>
      <c r="E13" s="8"/>
      <c r="I13" s="11"/>
      <c r="J13" s="8"/>
      <c r="O13" s="64"/>
      <c r="P13" s="64"/>
      <c r="Q13" s="64"/>
      <c r="R13" s="64"/>
      <c r="S13" s="64"/>
      <c r="T13" s="64"/>
    </row>
    <row r="14" spans="1:20" ht="13.8" customHeight="1" thickBot="1" x14ac:dyDescent="0.3">
      <c r="A14" s="142" t="s">
        <v>17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4"/>
      <c r="O14" s="64"/>
      <c r="P14" s="64"/>
      <c r="Q14" s="64"/>
      <c r="R14" s="64"/>
      <c r="S14" s="64"/>
      <c r="T14" s="64"/>
    </row>
    <row r="15" spans="1:20" ht="13.8" customHeight="1" thickBot="1" x14ac:dyDescent="0.3">
      <c r="A15" s="9" t="s">
        <v>19</v>
      </c>
      <c r="B15" s="151" t="s">
        <v>12</v>
      </c>
      <c r="C15" s="152"/>
      <c r="D15" s="152"/>
      <c r="E15" s="152"/>
      <c r="F15" s="152"/>
      <c r="G15" s="152"/>
      <c r="H15" s="152"/>
      <c r="I15" s="152"/>
      <c r="J15" s="153"/>
      <c r="K15" s="9" t="s">
        <v>0</v>
      </c>
      <c r="L15" s="101"/>
      <c r="M15" s="101"/>
      <c r="O15" s="64"/>
      <c r="P15" s="64"/>
      <c r="Q15" s="64"/>
      <c r="R15" s="64"/>
      <c r="S15" s="64"/>
      <c r="T15" s="64"/>
    </row>
    <row r="16" spans="1:20" ht="13.8" customHeight="1" x14ac:dyDescent="0.25">
      <c r="A16" s="15" t="s">
        <v>22</v>
      </c>
      <c r="B16" s="154" t="s">
        <v>41</v>
      </c>
      <c r="C16" s="155"/>
      <c r="D16" s="155"/>
      <c r="E16" s="155"/>
      <c r="F16" s="155"/>
      <c r="G16" s="155"/>
      <c r="H16" s="155"/>
      <c r="I16" s="155"/>
      <c r="J16" s="156"/>
      <c r="K16" s="17">
        <v>1</v>
      </c>
      <c r="L16" s="101"/>
      <c r="M16" s="101"/>
      <c r="O16" s="64"/>
      <c r="P16" s="64"/>
      <c r="Q16" s="64"/>
      <c r="R16" s="64"/>
      <c r="S16" s="64"/>
      <c r="T16" s="64"/>
    </row>
    <row r="17" spans="1:20" ht="13.8" customHeight="1" x14ac:dyDescent="0.25">
      <c r="A17" s="15" t="s">
        <v>23</v>
      </c>
      <c r="B17" s="157" t="s">
        <v>42</v>
      </c>
      <c r="C17" s="155"/>
      <c r="D17" s="155"/>
      <c r="E17" s="155"/>
      <c r="F17" s="155"/>
      <c r="G17" s="155"/>
      <c r="H17" s="155"/>
      <c r="I17" s="155"/>
      <c r="J17" s="156"/>
      <c r="K17" s="17">
        <v>1</v>
      </c>
      <c r="L17" s="101"/>
      <c r="M17" s="101"/>
      <c r="O17" s="64"/>
      <c r="P17" s="64"/>
      <c r="Q17" s="64"/>
      <c r="R17" s="64"/>
      <c r="S17" s="64"/>
      <c r="T17" s="64"/>
    </row>
    <row r="18" spans="1:20" ht="13.8" customHeight="1" x14ac:dyDescent="0.25">
      <c r="A18" s="15" t="s">
        <v>24</v>
      </c>
      <c r="B18" s="157" t="s">
        <v>43</v>
      </c>
      <c r="C18" s="155"/>
      <c r="D18" s="155"/>
      <c r="E18" s="155"/>
      <c r="F18" s="155"/>
      <c r="G18" s="155"/>
      <c r="H18" s="155"/>
      <c r="I18" s="155"/>
      <c r="J18" s="156"/>
      <c r="K18" s="17">
        <v>1</v>
      </c>
      <c r="L18" s="101"/>
      <c r="M18" s="101"/>
      <c r="O18" s="64"/>
      <c r="P18" s="64"/>
      <c r="Q18" s="64"/>
      <c r="R18" s="64"/>
      <c r="S18" s="64"/>
      <c r="T18" s="64"/>
    </row>
    <row r="19" spans="1:20" ht="13.8" customHeight="1" x14ac:dyDescent="0.25">
      <c r="A19" s="15" t="s">
        <v>25</v>
      </c>
      <c r="B19" s="157" t="s">
        <v>44</v>
      </c>
      <c r="C19" s="155"/>
      <c r="D19" s="155"/>
      <c r="E19" s="155"/>
      <c r="F19" s="155"/>
      <c r="G19" s="155"/>
      <c r="H19" s="155"/>
      <c r="I19" s="155"/>
      <c r="J19" s="156"/>
      <c r="K19" s="17">
        <v>5</v>
      </c>
      <c r="L19" s="101"/>
      <c r="M19" s="101"/>
    </row>
    <row r="20" spans="1:20" ht="13.8" customHeight="1" x14ac:dyDescent="0.25">
      <c r="A20" s="15" t="s">
        <v>26</v>
      </c>
      <c r="B20" s="157" t="s">
        <v>45</v>
      </c>
      <c r="C20" s="155"/>
      <c r="D20" s="155"/>
      <c r="E20" s="155"/>
      <c r="F20" s="155"/>
      <c r="G20" s="155"/>
      <c r="H20" s="155"/>
      <c r="I20" s="155"/>
      <c r="J20" s="156"/>
      <c r="K20" s="17">
        <v>7.7</v>
      </c>
      <c r="L20" s="101"/>
      <c r="M20" s="101"/>
    </row>
    <row r="21" spans="1:20" ht="13.8" customHeight="1" x14ac:dyDescent="0.25">
      <c r="A21" s="15" t="s">
        <v>27</v>
      </c>
      <c r="B21" s="157" t="s">
        <v>46</v>
      </c>
      <c r="C21" s="155"/>
      <c r="D21" s="155"/>
      <c r="E21" s="155"/>
      <c r="F21" s="155"/>
      <c r="G21" s="155"/>
      <c r="H21" s="155"/>
      <c r="I21" s="155"/>
      <c r="J21" s="156"/>
      <c r="K21" s="17">
        <v>1</v>
      </c>
      <c r="L21" s="101"/>
      <c r="M21" s="101"/>
    </row>
    <row r="22" spans="1:20" ht="13.8" customHeight="1" x14ac:dyDescent="0.25">
      <c r="A22" s="15" t="s">
        <v>28</v>
      </c>
      <c r="B22" s="157"/>
      <c r="C22" s="155"/>
      <c r="D22" s="155"/>
      <c r="E22" s="155"/>
      <c r="F22" s="155"/>
      <c r="G22" s="155"/>
      <c r="H22" s="155"/>
      <c r="I22" s="155"/>
      <c r="J22" s="156"/>
      <c r="K22" s="17"/>
      <c r="L22" s="101"/>
      <c r="M22" s="101"/>
    </row>
    <row r="23" spans="1:20" ht="13.8" customHeight="1" x14ac:dyDescent="0.25">
      <c r="A23" s="15" t="s">
        <v>29</v>
      </c>
      <c r="B23" s="157"/>
      <c r="C23" s="155"/>
      <c r="D23" s="155"/>
      <c r="E23" s="155"/>
      <c r="F23" s="155"/>
      <c r="G23" s="155"/>
      <c r="H23" s="155"/>
      <c r="I23" s="155"/>
      <c r="J23" s="156"/>
      <c r="K23" s="17"/>
    </row>
    <row r="24" spans="1:20" ht="13.8" customHeight="1" thickBot="1" x14ac:dyDescent="0.3">
      <c r="A24" s="18" t="s">
        <v>30</v>
      </c>
      <c r="B24" s="158"/>
      <c r="C24" s="159"/>
      <c r="D24" s="159"/>
      <c r="E24" s="159"/>
      <c r="F24" s="159"/>
      <c r="G24" s="159"/>
      <c r="H24" s="159"/>
      <c r="I24" s="159"/>
      <c r="J24" s="160"/>
      <c r="K24" s="19"/>
    </row>
    <row r="25" spans="1:20" ht="13.8" customHeight="1" x14ac:dyDescent="0.25">
      <c r="F25" s="6"/>
      <c r="G25" s="7"/>
      <c r="H25" s="7"/>
      <c r="I25" s="7"/>
      <c r="J25" s="3"/>
    </row>
    <row r="26" spans="1:20" ht="13.8" customHeight="1" thickBot="1" x14ac:dyDescent="0.3">
      <c r="C26" s="3"/>
      <c r="H26" s="3"/>
      <c r="I26" s="3"/>
      <c r="J26" s="3"/>
    </row>
    <row r="27" spans="1:20" ht="13.8" customHeight="1" thickBot="1" x14ac:dyDescent="0.3">
      <c r="A27" s="54" t="s">
        <v>48</v>
      </c>
      <c r="B27" s="54" t="s">
        <v>49</v>
      </c>
      <c r="C27" s="54" t="s">
        <v>6</v>
      </c>
      <c r="D27" s="54" t="s">
        <v>1</v>
      </c>
      <c r="E27" s="54" t="s">
        <v>2</v>
      </c>
      <c r="F27" s="54" t="s">
        <v>8</v>
      </c>
      <c r="G27" s="54" t="s">
        <v>50</v>
      </c>
      <c r="H27" s="54" t="s">
        <v>3</v>
      </c>
      <c r="I27" s="54" t="s">
        <v>4</v>
      </c>
      <c r="J27" s="81" t="s">
        <v>7</v>
      </c>
      <c r="K27" s="82" t="s">
        <v>5</v>
      </c>
      <c r="L27" s="83">
        <f>SUM(I28:I39)</f>
        <v>1</v>
      </c>
      <c r="M27" s="4"/>
      <c r="N27" s="5"/>
      <c r="O27" s="3"/>
    </row>
    <row r="28" spans="1:20" ht="13.8" customHeight="1" x14ac:dyDescent="0.25">
      <c r="A28" s="78" t="s">
        <v>47</v>
      </c>
      <c r="B28" s="57" t="s">
        <v>107</v>
      </c>
      <c r="C28" s="56"/>
      <c r="D28" s="57"/>
      <c r="E28" s="57" t="s">
        <v>31</v>
      </c>
      <c r="F28" s="57" t="s">
        <v>31</v>
      </c>
      <c r="G28" s="79" t="s">
        <v>31</v>
      </c>
      <c r="H28" s="79" t="s">
        <v>31</v>
      </c>
      <c r="I28" s="79" t="s">
        <v>31</v>
      </c>
      <c r="J28" s="75"/>
      <c r="K28" s="75"/>
      <c r="L28" s="75"/>
    </row>
    <row r="29" spans="1:20" s="75" customFormat="1" ht="13.8" customHeight="1" x14ac:dyDescent="0.25">
      <c r="A29" s="78" t="s">
        <v>31</v>
      </c>
      <c r="B29" s="57" t="s">
        <v>31</v>
      </c>
      <c r="C29" s="56" t="s">
        <v>39</v>
      </c>
      <c r="D29" s="57" t="s">
        <v>143</v>
      </c>
      <c r="E29" s="56" t="s">
        <v>31</v>
      </c>
      <c r="F29" s="57"/>
      <c r="G29" s="79" t="s">
        <v>31</v>
      </c>
      <c r="H29" s="78"/>
      <c r="I29" s="80">
        <v>1</v>
      </c>
      <c r="J29" s="95"/>
    </row>
    <row r="30" spans="1:20" s="84" customFormat="1" ht="13.8" customHeight="1" x14ac:dyDescent="0.25">
      <c r="A30" s="78"/>
      <c r="B30" s="57"/>
      <c r="C30" s="56"/>
      <c r="D30" s="57"/>
      <c r="E30" s="56"/>
      <c r="F30" s="57" t="s">
        <v>147</v>
      </c>
      <c r="G30" s="79"/>
      <c r="H30" s="78"/>
      <c r="I30" s="80"/>
    </row>
    <row r="31" spans="1:20" s="84" customFormat="1" ht="13.8" customHeight="1" x14ac:dyDescent="0.25">
      <c r="A31" s="78"/>
      <c r="B31" s="57"/>
      <c r="C31" s="56"/>
      <c r="D31" s="57"/>
      <c r="E31" s="56"/>
      <c r="F31" s="57" t="s">
        <v>148</v>
      </c>
      <c r="G31" s="79"/>
      <c r="H31" s="78"/>
      <c r="I31" s="80"/>
    </row>
    <row r="32" spans="1:20" s="84" customFormat="1" ht="13.8" customHeight="1" x14ac:dyDescent="0.25">
      <c r="A32" s="78"/>
      <c r="B32" s="57"/>
      <c r="C32" s="56"/>
      <c r="D32" s="57"/>
      <c r="E32" s="56"/>
      <c r="F32" s="57" t="s">
        <v>149</v>
      </c>
      <c r="G32" s="79"/>
      <c r="H32" s="78"/>
      <c r="I32" s="80"/>
    </row>
    <row r="33" spans="1:16" s="84" customFormat="1" ht="13.8" customHeight="1" x14ac:dyDescent="0.25">
      <c r="A33" s="78"/>
      <c r="B33" s="57"/>
      <c r="C33" s="56"/>
      <c r="D33" s="57"/>
      <c r="E33" s="56"/>
      <c r="F33" s="57" t="s">
        <v>144</v>
      </c>
      <c r="G33" s="79"/>
      <c r="H33" s="78"/>
      <c r="I33" s="80"/>
    </row>
    <row r="34" spans="1:16" s="75" customFormat="1" ht="13.8" customHeight="1" x14ac:dyDescent="0.25">
      <c r="A34" s="78" t="s">
        <v>31</v>
      </c>
      <c r="B34" s="57" t="s">
        <v>31</v>
      </c>
      <c r="C34" s="56"/>
      <c r="D34" s="57"/>
      <c r="E34" s="56" t="s">
        <v>31</v>
      </c>
      <c r="F34" s="57" t="s">
        <v>145</v>
      </c>
      <c r="G34" s="79" t="s">
        <v>31</v>
      </c>
      <c r="H34" s="78"/>
      <c r="I34" s="80"/>
    </row>
    <row r="35" spans="1:16" s="84" customFormat="1" ht="13.8" customHeight="1" x14ac:dyDescent="0.25">
      <c r="A35" s="78"/>
      <c r="B35" s="57"/>
      <c r="C35" s="56"/>
      <c r="D35" s="57"/>
      <c r="E35" s="56"/>
      <c r="F35" s="62" t="s">
        <v>146</v>
      </c>
      <c r="G35" s="79"/>
      <c r="H35" s="78"/>
      <c r="I35" s="80"/>
    </row>
    <row r="36" spans="1:16" s="75" customFormat="1" ht="13.8" customHeight="1" x14ac:dyDescent="0.25">
      <c r="A36" s="15"/>
      <c r="B36" s="119"/>
      <c r="C36" s="71"/>
      <c r="D36" s="71"/>
      <c r="E36" s="119"/>
      <c r="F36" s="62" t="s">
        <v>121</v>
      </c>
      <c r="G36" s="74"/>
      <c r="H36" s="74"/>
      <c r="I36" s="15"/>
    </row>
    <row r="37" spans="1:16" s="75" customFormat="1" ht="13.8" customHeight="1" x14ac:dyDescent="0.25">
      <c r="A37" s="15"/>
      <c r="B37" s="119"/>
      <c r="C37" s="71"/>
      <c r="D37" s="71"/>
      <c r="E37" s="119"/>
      <c r="F37" s="62" t="s">
        <v>122</v>
      </c>
      <c r="G37" s="74"/>
      <c r="H37" s="74"/>
      <c r="I37" s="15"/>
    </row>
    <row r="38" spans="1:16" s="75" customFormat="1" ht="13.8" customHeight="1" x14ac:dyDescent="0.25">
      <c r="A38" s="15"/>
      <c r="B38" s="119"/>
      <c r="C38" s="71"/>
      <c r="D38" s="71"/>
      <c r="E38" s="119"/>
      <c r="F38" s="71"/>
      <c r="G38" s="74"/>
      <c r="H38" s="74"/>
      <c r="I38" s="15"/>
    </row>
    <row r="39" spans="1:16" ht="13.8" customHeight="1" thickBot="1" x14ac:dyDescent="0.3">
      <c r="A39" s="15" t="s">
        <v>31</v>
      </c>
      <c r="B39" s="117" t="s">
        <v>31</v>
      </c>
      <c r="C39" s="71" t="s">
        <v>31</v>
      </c>
      <c r="D39" s="71" t="s">
        <v>31</v>
      </c>
      <c r="E39" s="117" t="s">
        <v>31</v>
      </c>
      <c r="F39" s="71" t="s">
        <v>31</v>
      </c>
      <c r="G39" s="14" t="s">
        <v>31</v>
      </c>
      <c r="H39" s="14" t="s">
        <v>31</v>
      </c>
      <c r="I39" s="15"/>
      <c r="J39" s="75"/>
      <c r="K39" s="75"/>
      <c r="L39" s="75"/>
      <c r="M39" s="75"/>
    </row>
    <row r="40" spans="1:16" ht="13.8" customHeight="1" thickBot="1" x14ac:dyDescent="0.3">
      <c r="A40" s="54" t="s">
        <v>48</v>
      </c>
      <c r="B40" s="54" t="s">
        <v>49</v>
      </c>
      <c r="C40" s="54" t="s">
        <v>6</v>
      </c>
      <c r="D40" s="54" t="s">
        <v>1</v>
      </c>
      <c r="E40" s="54" t="s">
        <v>2</v>
      </c>
      <c r="F40" s="54" t="s">
        <v>8</v>
      </c>
      <c r="G40" s="54" t="s">
        <v>50</v>
      </c>
      <c r="H40" s="54" t="s">
        <v>3</v>
      </c>
      <c r="I40" s="54" t="s">
        <v>4</v>
      </c>
      <c r="J40" s="20" t="s">
        <v>32</v>
      </c>
      <c r="K40" s="21" t="s">
        <v>5</v>
      </c>
      <c r="L40" s="22">
        <f>SUM(I41:I48)</f>
        <v>1</v>
      </c>
      <c r="P40" s="3"/>
    </row>
    <row r="41" spans="1:16" ht="13.8" customHeight="1" x14ac:dyDescent="0.25">
      <c r="A41" s="56" t="s">
        <v>33</v>
      </c>
      <c r="B41" s="57" t="s">
        <v>105</v>
      </c>
      <c r="C41" s="71"/>
      <c r="D41" s="119" t="s">
        <v>31</v>
      </c>
      <c r="E41" s="120" t="s">
        <v>31</v>
      </c>
      <c r="F41" s="119" t="s">
        <v>31</v>
      </c>
      <c r="G41" s="60" t="s">
        <v>31</v>
      </c>
      <c r="H41" s="60" t="s">
        <v>31</v>
      </c>
      <c r="I41" s="80" t="s">
        <v>31</v>
      </c>
      <c r="J41" s="75"/>
      <c r="K41" s="75"/>
    </row>
    <row r="42" spans="1:16" ht="13.8" customHeight="1" x14ac:dyDescent="0.25">
      <c r="A42" s="56"/>
      <c r="B42" s="57"/>
      <c r="C42" s="71" t="s">
        <v>103</v>
      </c>
      <c r="D42" s="134" t="s">
        <v>51</v>
      </c>
      <c r="E42" s="134"/>
      <c r="F42" s="56"/>
      <c r="G42" s="57"/>
      <c r="H42" s="74"/>
      <c r="I42" s="80">
        <v>1</v>
      </c>
      <c r="J42" s="75"/>
      <c r="O42" s="100"/>
    </row>
    <row r="43" spans="1:16" s="55" customFormat="1" ht="13.8" customHeight="1" x14ac:dyDescent="0.25">
      <c r="A43" s="56"/>
      <c r="B43" s="57"/>
      <c r="C43" s="71"/>
      <c r="D43" s="121"/>
      <c r="E43" s="69">
        <v>0</v>
      </c>
      <c r="F43" s="122" t="s">
        <v>104</v>
      </c>
      <c r="G43" s="69"/>
      <c r="H43" s="74" t="s">
        <v>31</v>
      </c>
      <c r="I43" s="80"/>
      <c r="J43" s="75"/>
      <c r="K43" s="75"/>
      <c r="O43" s="100"/>
    </row>
    <row r="44" spans="1:16" ht="13.8" customHeight="1" x14ac:dyDescent="0.25">
      <c r="A44" s="56"/>
      <c r="B44" s="57"/>
      <c r="C44" s="71"/>
      <c r="D44" s="119" t="s">
        <v>31</v>
      </c>
      <c r="E44" s="69">
        <v>1</v>
      </c>
      <c r="F44" s="122" t="s">
        <v>243</v>
      </c>
      <c r="G44" s="69"/>
      <c r="H44" s="74" t="s">
        <v>31</v>
      </c>
      <c r="I44" s="80"/>
      <c r="J44" s="75"/>
      <c r="K44" s="75"/>
      <c r="O44" s="100"/>
    </row>
    <row r="45" spans="1:16" s="55" customFormat="1" ht="13.8" customHeight="1" x14ac:dyDescent="0.25">
      <c r="A45" s="56"/>
      <c r="B45" s="57"/>
      <c r="C45" s="71"/>
      <c r="D45" s="119"/>
      <c r="E45" s="69">
        <v>2</v>
      </c>
      <c r="F45" s="122" t="s">
        <v>244</v>
      </c>
      <c r="G45" s="69"/>
      <c r="H45" s="74" t="s">
        <v>31</v>
      </c>
      <c r="I45" s="80"/>
      <c r="J45" s="75"/>
      <c r="K45" s="75"/>
      <c r="O45" s="100"/>
    </row>
    <row r="46" spans="1:16" s="72" customFormat="1" ht="13.8" customHeight="1" x14ac:dyDescent="0.25">
      <c r="A46" s="56"/>
      <c r="B46" s="57"/>
      <c r="C46" s="71"/>
      <c r="D46" s="119"/>
      <c r="E46" s="69">
        <v>3</v>
      </c>
      <c r="F46" s="122" t="s">
        <v>108</v>
      </c>
      <c r="G46" s="69"/>
      <c r="H46" s="74" t="s">
        <v>31</v>
      </c>
      <c r="I46" s="80"/>
      <c r="J46" s="75"/>
      <c r="K46" s="75"/>
      <c r="O46" s="100"/>
    </row>
    <row r="47" spans="1:16" s="76" customFormat="1" ht="13.8" customHeight="1" x14ac:dyDescent="0.25">
      <c r="A47" s="56"/>
      <c r="B47" s="57"/>
      <c r="C47" s="71"/>
      <c r="D47" s="119"/>
      <c r="E47" s="69"/>
      <c r="F47" s="122"/>
      <c r="G47" s="69"/>
      <c r="H47" s="77"/>
      <c r="I47" s="80"/>
      <c r="O47" s="100"/>
    </row>
    <row r="48" spans="1:16" ht="13.8" customHeight="1" thickBot="1" x14ac:dyDescent="0.3">
      <c r="A48" s="15" t="s">
        <v>31</v>
      </c>
      <c r="B48" s="117" t="s">
        <v>31</v>
      </c>
      <c r="C48" s="71" t="s">
        <v>31</v>
      </c>
      <c r="D48" s="71" t="s">
        <v>31</v>
      </c>
      <c r="E48" s="117" t="s">
        <v>31</v>
      </c>
      <c r="F48" s="71" t="s">
        <v>31</v>
      </c>
      <c r="G48" s="14" t="s">
        <v>31</v>
      </c>
      <c r="H48" s="14" t="s">
        <v>31</v>
      </c>
      <c r="I48" s="15"/>
      <c r="J48" s="75"/>
      <c r="K48" s="75"/>
    </row>
    <row r="49" spans="1:12" ht="13.8" customHeight="1" thickBot="1" x14ac:dyDescent="0.3">
      <c r="A49" s="23" t="s">
        <v>15</v>
      </c>
      <c r="B49" s="54" t="s">
        <v>16</v>
      </c>
      <c r="C49" s="54" t="s">
        <v>6</v>
      </c>
      <c r="D49" s="54" t="s">
        <v>1</v>
      </c>
      <c r="E49" s="54" t="s">
        <v>2</v>
      </c>
      <c r="F49" s="54" t="s">
        <v>8</v>
      </c>
      <c r="G49" s="24" t="s">
        <v>9</v>
      </c>
      <c r="H49" s="25" t="s">
        <v>3</v>
      </c>
      <c r="I49" s="26" t="s">
        <v>4</v>
      </c>
      <c r="J49" s="27" t="s">
        <v>34</v>
      </c>
      <c r="K49" s="28" t="s">
        <v>5</v>
      </c>
      <c r="L49" s="29">
        <f>SUM(I50:I66)</f>
        <v>1</v>
      </c>
    </row>
    <row r="50" spans="1:12" ht="13.8" customHeight="1" x14ac:dyDescent="0.25">
      <c r="A50" s="15" t="s">
        <v>53</v>
      </c>
      <c r="B50" s="57" t="s">
        <v>106</v>
      </c>
      <c r="C50" s="71" t="s">
        <v>31</v>
      </c>
      <c r="D50" s="117" t="s">
        <v>31</v>
      </c>
      <c r="E50" s="123" t="s">
        <v>31</v>
      </c>
      <c r="F50" s="124" t="s">
        <v>31</v>
      </c>
      <c r="G50" s="14" t="s">
        <v>31</v>
      </c>
      <c r="H50" s="15"/>
      <c r="I50" s="17"/>
    </row>
    <row r="51" spans="1:12" s="84" customFormat="1" ht="13.8" customHeight="1" x14ac:dyDescent="0.25">
      <c r="A51" s="56"/>
      <c r="B51" s="57"/>
      <c r="C51" s="71" t="s">
        <v>39</v>
      </c>
      <c r="D51" s="1" t="s">
        <v>215</v>
      </c>
      <c r="E51" s="123" t="s">
        <v>31</v>
      </c>
      <c r="F51" s="105"/>
      <c r="G51" s="85" t="s">
        <v>31</v>
      </c>
      <c r="H51" s="15"/>
      <c r="I51" s="58">
        <v>1</v>
      </c>
    </row>
    <row r="52" spans="1:12" s="138" customFormat="1" ht="13.8" customHeight="1" x14ac:dyDescent="0.25">
      <c r="A52" s="56"/>
      <c r="B52" s="57"/>
      <c r="C52" s="121"/>
      <c r="D52" s="1"/>
      <c r="E52" s="127"/>
      <c r="F52" s="105" t="s">
        <v>220</v>
      </c>
      <c r="G52" s="85"/>
      <c r="H52" s="15"/>
      <c r="I52" s="58"/>
    </row>
    <row r="53" spans="1:12" s="138" customFormat="1" ht="13.8" customHeight="1" x14ac:dyDescent="0.25">
      <c r="A53" s="56"/>
      <c r="B53" s="57"/>
      <c r="C53" s="121"/>
      <c r="D53" s="1"/>
      <c r="E53" s="127"/>
      <c r="F53" s="105" t="s">
        <v>221</v>
      </c>
      <c r="G53" s="85"/>
      <c r="H53" s="15"/>
      <c r="I53" s="58"/>
    </row>
    <row r="54" spans="1:12" s="138" customFormat="1" ht="13.8" customHeight="1" x14ac:dyDescent="0.25">
      <c r="A54" s="56"/>
      <c r="B54" s="57"/>
      <c r="C54" s="121"/>
      <c r="D54" s="1"/>
      <c r="E54" s="127"/>
      <c r="F54" s="105" t="s">
        <v>222</v>
      </c>
      <c r="G54" s="85"/>
      <c r="H54" s="15"/>
      <c r="I54" s="58"/>
    </row>
    <row r="55" spans="1:12" s="138" customFormat="1" ht="13.8" customHeight="1" x14ac:dyDescent="0.25">
      <c r="A55" s="56"/>
      <c r="B55" s="57"/>
      <c r="C55" s="121"/>
      <c r="D55" s="57"/>
      <c r="E55" s="127"/>
      <c r="F55" s="105" t="s">
        <v>175</v>
      </c>
      <c r="G55" s="85"/>
      <c r="H55" s="15"/>
      <c r="I55" s="58"/>
    </row>
    <row r="56" spans="1:12" s="138" customFormat="1" ht="13.8" customHeight="1" x14ac:dyDescent="0.25">
      <c r="A56" s="56"/>
      <c r="B56" s="57"/>
      <c r="C56" s="121"/>
      <c r="D56" s="57"/>
      <c r="E56" s="127"/>
      <c r="F56" s="105" t="s">
        <v>176</v>
      </c>
      <c r="G56" s="85"/>
      <c r="H56" s="15"/>
      <c r="I56" s="58"/>
    </row>
    <row r="57" spans="1:12" s="138" customFormat="1" ht="13.8" customHeight="1" x14ac:dyDescent="0.25">
      <c r="A57" s="56"/>
      <c r="B57" s="57"/>
      <c r="C57" s="121"/>
      <c r="D57" s="57"/>
      <c r="E57" s="127"/>
      <c r="F57" s="105" t="s">
        <v>223</v>
      </c>
      <c r="G57" s="85"/>
      <c r="H57" s="15"/>
      <c r="I57" s="58"/>
    </row>
    <row r="58" spans="1:12" s="138" customFormat="1" ht="13.8" customHeight="1" x14ac:dyDescent="0.25">
      <c r="A58" s="56"/>
      <c r="B58" s="57"/>
      <c r="C58" s="119" t="s">
        <v>31</v>
      </c>
      <c r="D58" s="57"/>
      <c r="E58" s="126" t="s">
        <v>31</v>
      </c>
      <c r="F58" s="105" t="s">
        <v>177</v>
      </c>
      <c r="G58" s="85" t="s">
        <v>31</v>
      </c>
      <c r="H58" s="15"/>
      <c r="I58" s="58"/>
    </row>
    <row r="59" spans="1:12" s="138" customFormat="1" ht="13.8" customHeight="1" x14ac:dyDescent="0.25">
      <c r="A59" s="56"/>
      <c r="B59" s="57"/>
      <c r="C59" s="71"/>
      <c r="D59" s="57"/>
      <c r="E59" s="123" t="s">
        <v>31</v>
      </c>
      <c r="F59" s="105" t="s">
        <v>178</v>
      </c>
      <c r="G59" s="85" t="s">
        <v>31</v>
      </c>
      <c r="H59" s="15"/>
      <c r="I59" s="58"/>
    </row>
    <row r="60" spans="1:12" s="138" customFormat="1" ht="13.8" customHeight="1" x14ac:dyDescent="0.25">
      <c r="A60" s="56"/>
      <c r="B60" s="57"/>
      <c r="C60" s="71" t="s">
        <v>31</v>
      </c>
      <c r="D60" s="57"/>
      <c r="E60" s="123" t="s">
        <v>31</v>
      </c>
      <c r="F60" s="105" t="s">
        <v>179</v>
      </c>
      <c r="G60" s="85" t="s">
        <v>31</v>
      </c>
      <c r="H60" s="15"/>
      <c r="I60" s="58"/>
    </row>
    <row r="61" spans="1:12" s="138" customFormat="1" ht="13.8" customHeight="1" x14ac:dyDescent="0.25">
      <c r="A61" s="56"/>
      <c r="B61" s="57"/>
      <c r="C61" s="71"/>
      <c r="D61" s="57"/>
      <c r="E61" s="123"/>
      <c r="F61" s="105" t="s">
        <v>224</v>
      </c>
      <c r="G61" s="85"/>
      <c r="H61" s="15"/>
      <c r="I61" s="58"/>
    </row>
    <row r="62" spans="1:12" s="138" customFormat="1" ht="13.8" customHeight="1" x14ac:dyDescent="0.25">
      <c r="A62" s="56"/>
      <c r="B62" s="57"/>
      <c r="C62" s="71"/>
      <c r="D62" s="57"/>
      <c r="E62" s="123"/>
      <c r="F62" s="105" t="s">
        <v>225</v>
      </c>
      <c r="G62" s="85"/>
      <c r="H62" s="15"/>
      <c r="I62" s="58"/>
    </row>
    <row r="63" spans="1:12" s="138" customFormat="1" ht="13.8" customHeight="1" x14ac:dyDescent="0.25">
      <c r="A63" s="56"/>
      <c r="B63" s="57"/>
      <c r="C63" s="71"/>
      <c r="D63" s="57"/>
      <c r="E63" s="123"/>
      <c r="F63" s="105" t="s">
        <v>180</v>
      </c>
      <c r="G63" s="85"/>
      <c r="H63" s="15"/>
      <c r="I63" s="58"/>
    </row>
    <row r="64" spans="1:12" s="84" customFormat="1" ht="13.8" customHeight="1" x14ac:dyDescent="0.25">
      <c r="A64" s="56"/>
      <c r="B64" s="57"/>
      <c r="C64" s="71"/>
      <c r="D64" s="57"/>
      <c r="E64" s="123"/>
      <c r="F64" s="105"/>
      <c r="G64" s="85"/>
      <c r="H64" s="15"/>
      <c r="I64" s="58"/>
    </row>
    <row r="65" spans="1:12" s="84" customFormat="1" ht="13.8" customHeight="1" x14ac:dyDescent="0.25">
      <c r="A65" s="56"/>
      <c r="B65" s="57"/>
      <c r="C65" s="71"/>
      <c r="D65" s="57"/>
      <c r="E65" s="123"/>
      <c r="F65" s="105"/>
      <c r="G65" s="85"/>
      <c r="H65" s="15"/>
      <c r="I65" s="58"/>
    </row>
    <row r="66" spans="1:12" ht="13.8" customHeight="1" thickBot="1" x14ac:dyDescent="0.3">
      <c r="A66" s="15" t="s">
        <v>31</v>
      </c>
      <c r="B66" s="117" t="s">
        <v>31</v>
      </c>
      <c r="C66" s="71" t="s">
        <v>31</v>
      </c>
      <c r="D66" s="117" t="s">
        <v>31</v>
      </c>
      <c r="E66" s="123" t="s">
        <v>31</v>
      </c>
      <c r="F66" s="125" t="s">
        <v>31</v>
      </c>
      <c r="G66" s="14" t="s">
        <v>31</v>
      </c>
      <c r="H66" s="15"/>
      <c r="I66" s="17"/>
    </row>
    <row r="67" spans="1:12" s="63" customFormat="1" ht="13.8" customHeight="1" thickBot="1" x14ac:dyDescent="0.3">
      <c r="A67" s="30" t="s">
        <v>15</v>
      </c>
      <c r="B67" s="54" t="s">
        <v>16</v>
      </c>
      <c r="C67" s="54" t="s">
        <v>6</v>
      </c>
      <c r="D67" s="54" t="s">
        <v>1</v>
      </c>
      <c r="E67" s="116" t="s">
        <v>2</v>
      </c>
      <c r="F67" s="54" t="s">
        <v>8</v>
      </c>
      <c r="G67" s="31" t="s">
        <v>9</v>
      </c>
      <c r="H67" s="32" t="s">
        <v>3</v>
      </c>
      <c r="I67" s="33" t="s">
        <v>4</v>
      </c>
      <c r="J67" s="34" t="s">
        <v>35</v>
      </c>
      <c r="K67" s="35" t="s">
        <v>5</v>
      </c>
      <c r="L67" s="36">
        <f>SUM(I68:I105)</f>
        <v>5</v>
      </c>
    </row>
    <row r="68" spans="1:12" s="70" customFormat="1" ht="13.8" customHeight="1" x14ac:dyDescent="0.25">
      <c r="A68" s="56" t="s">
        <v>36</v>
      </c>
      <c r="B68" s="57" t="s">
        <v>110</v>
      </c>
      <c r="C68" s="119" t="s">
        <v>31</v>
      </c>
      <c r="D68" s="119" t="s">
        <v>31</v>
      </c>
      <c r="E68" s="126" t="s">
        <v>31</v>
      </c>
      <c r="F68" s="125" t="s">
        <v>31</v>
      </c>
      <c r="G68" s="60" t="s">
        <v>31</v>
      </c>
      <c r="H68" s="60" t="s">
        <v>31</v>
      </c>
      <c r="I68" s="58" t="s">
        <v>31</v>
      </c>
    </row>
    <row r="69" spans="1:12" s="66" customFormat="1" ht="13.8" customHeight="1" x14ac:dyDescent="0.25">
      <c r="A69" s="56"/>
      <c r="B69" s="57"/>
      <c r="C69" s="71" t="s">
        <v>39</v>
      </c>
      <c r="D69" s="68" t="s">
        <v>245</v>
      </c>
      <c r="E69" s="123"/>
      <c r="F69" s="105"/>
      <c r="G69" s="85"/>
      <c r="H69" s="15"/>
      <c r="I69" s="58">
        <v>1.9</v>
      </c>
    </row>
    <row r="70" spans="1:12" s="66" customFormat="1" ht="13.8" customHeight="1" x14ac:dyDescent="0.25">
      <c r="A70" s="56"/>
      <c r="B70" s="57"/>
      <c r="C70" s="71"/>
      <c r="D70" s="68"/>
      <c r="E70" s="123"/>
      <c r="F70" s="105" t="s">
        <v>187</v>
      </c>
      <c r="G70" s="85"/>
      <c r="H70" s="15"/>
      <c r="I70" s="58"/>
    </row>
    <row r="71" spans="1:12" s="66" customFormat="1" ht="13.8" customHeight="1" x14ac:dyDescent="0.25">
      <c r="A71" s="56"/>
      <c r="B71" s="57"/>
      <c r="C71" s="71"/>
      <c r="D71" s="68"/>
      <c r="E71" s="123"/>
      <c r="F71" s="105" t="s">
        <v>188</v>
      </c>
      <c r="G71" s="85"/>
      <c r="H71" s="15"/>
      <c r="I71" s="58"/>
    </row>
    <row r="72" spans="1:12" s="73" customFormat="1" ht="13.8" customHeight="1" x14ac:dyDescent="0.25">
      <c r="A72" s="56"/>
      <c r="B72" s="57"/>
      <c r="C72" s="71"/>
      <c r="D72" s="68"/>
      <c r="E72" s="123"/>
      <c r="F72" s="105" t="s">
        <v>190</v>
      </c>
      <c r="G72" s="85"/>
      <c r="H72" s="15"/>
      <c r="I72" s="58"/>
    </row>
    <row r="73" spans="1:12" s="107" customFormat="1" ht="13.8" customHeight="1" x14ac:dyDescent="0.25">
      <c r="A73" s="56"/>
      <c r="B73" s="57"/>
      <c r="C73" s="71"/>
      <c r="D73" s="68"/>
      <c r="E73" s="123"/>
      <c r="F73" s="105" t="s">
        <v>196</v>
      </c>
      <c r="G73" s="85"/>
      <c r="H73" s="15"/>
      <c r="I73" s="58"/>
    </row>
    <row r="74" spans="1:12" s="73" customFormat="1" ht="13.8" customHeight="1" x14ac:dyDescent="0.25">
      <c r="A74" s="56"/>
      <c r="B74" s="57"/>
      <c r="C74" s="71"/>
      <c r="D74" s="68"/>
      <c r="E74" s="123"/>
      <c r="F74" s="105" t="s">
        <v>189</v>
      </c>
      <c r="G74" s="85"/>
      <c r="H74" s="15"/>
      <c r="I74" s="58"/>
      <c r="L74" s="94"/>
    </row>
    <row r="75" spans="1:12" s="66" customFormat="1" ht="13.8" customHeight="1" x14ac:dyDescent="0.25">
      <c r="A75" s="56"/>
      <c r="B75" s="57"/>
      <c r="C75" s="71"/>
      <c r="D75" s="68"/>
      <c r="E75" s="123"/>
      <c r="F75" s="105" t="s">
        <v>191</v>
      </c>
      <c r="G75" s="85"/>
      <c r="H75" s="15"/>
      <c r="I75" s="58"/>
      <c r="L75" s="94"/>
    </row>
    <row r="76" spans="1:12" s="73" customFormat="1" ht="13.8" customHeight="1" x14ac:dyDescent="0.25">
      <c r="A76" s="56"/>
      <c r="B76" s="57"/>
      <c r="C76" s="71"/>
      <c r="D76" s="68"/>
      <c r="E76" s="123"/>
      <c r="F76" s="105" t="s">
        <v>192</v>
      </c>
      <c r="G76" s="85"/>
      <c r="H76" s="15"/>
      <c r="I76" s="58"/>
      <c r="L76" s="94"/>
    </row>
    <row r="77" spans="1:12" s="67" customFormat="1" ht="13.8" customHeight="1" x14ac:dyDescent="0.25">
      <c r="A77" s="56"/>
      <c r="B77" s="57"/>
      <c r="C77" s="71"/>
      <c r="D77" s="68"/>
      <c r="E77" s="123"/>
      <c r="F77" s="105" t="s">
        <v>193</v>
      </c>
      <c r="G77" s="85"/>
      <c r="H77" s="15"/>
      <c r="I77" s="58"/>
      <c r="L77" s="94"/>
    </row>
    <row r="78" spans="1:12" s="61" customFormat="1" ht="13.8" customHeight="1" x14ac:dyDescent="0.25">
      <c r="A78" s="56"/>
      <c r="B78" s="57"/>
      <c r="C78" s="71"/>
      <c r="D78" s="68"/>
      <c r="E78" s="123"/>
      <c r="F78" s="105" t="s">
        <v>194</v>
      </c>
      <c r="G78" s="85"/>
      <c r="H78" s="15"/>
      <c r="I78" s="58"/>
      <c r="L78" s="94"/>
    </row>
    <row r="79" spans="1:12" s="63" customFormat="1" ht="13.8" customHeight="1" x14ac:dyDescent="0.25">
      <c r="A79" s="56"/>
      <c r="B79" s="57"/>
      <c r="C79" s="71"/>
      <c r="D79" s="68"/>
      <c r="E79" s="123"/>
      <c r="F79" s="105" t="s">
        <v>195</v>
      </c>
      <c r="G79" s="85"/>
      <c r="H79" s="15"/>
      <c r="I79" s="58"/>
      <c r="L79" s="94"/>
    </row>
    <row r="80" spans="1:12" s="102" customFormat="1" ht="13.8" customHeight="1" x14ac:dyDescent="0.25">
      <c r="A80" s="56"/>
      <c r="B80" s="57"/>
      <c r="C80" s="71"/>
      <c r="D80" s="68"/>
      <c r="E80" s="123"/>
      <c r="F80" s="105" t="s">
        <v>211</v>
      </c>
      <c r="G80" s="85"/>
      <c r="H80" s="15"/>
      <c r="I80" s="58"/>
    </row>
    <row r="81" spans="1:9" s="100" customFormat="1" ht="13.8" customHeight="1" x14ac:dyDescent="0.25">
      <c r="A81" s="56"/>
      <c r="B81" s="57"/>
      <c r="C81" s="71"/>
      <c r="D81" s="57"/>
      <c r="E81" s="123"/>
      <c r="F81" s="105" t="s">
        <v>212</v>
      </c>
      <c r="G81" s="85"/>
      <c r="H81" s="15"/>
      <c r="I81" s="58"/>
    </row>
    <row r="82" spans="1:9" s="100" customFormat="1" ht="13.8" customHeight="1" x14ac:dyDescent="0.25">
      <c r="A82" s="56"/>
      <c r="B82" s="57"/>
      <c r="C82" s="71"/>
      <c r="D82" s="57"/>
      <c r="E82" s="123"/>
      <c r="F82" s="105" t="s">
        <v>199</v>
      </c>
      <c r="G82" s="85"/>
      <c r="H82" s="15"/>
      <c r="I82" s="58"/>
    </row>
    <row r="83" spans="1:9" s="100" customFormat="1" ht="13.8" customHeight="1" x14ac:dyDescent="0.25">
      <c r="A83" s="56"/>
      <c r="B83" s="57"/>
      <c r="C83" s="71"/>
      <c r="D83" s="57"/>
      <c r="E83" s="123" t="s">
        <v>31</v>
      </c>
      <c r="F83" s="105" t="s">
        <v>197</v>
      </c>
      <c r="G83" s="85" t="s">
        <v>31</v>
      </c>
      <c r="H83" s="15"/>
      <c r="I83" s="58"/>
    </row>
    <row r="84" spans="1:9" s="100" customFormat="1" ht="13.8" customHeight="1" x14ac:dyDescent="0.25">
      <c r="A84" s="56"/>
      <c r="B84" s="57"/>
      <c r="C84" s="71"/>
      <c r="D84" s="68"/>
      <c r="E84" s="123"/>
      <c r="F84" s="105" t="s">
        <v>198</v>
      </c>
      <c r="G84" s="85"/>
      <c r="H84" s="15"/>
      <c r="I84" s="58"/>
    </row>
    <row r="85" spans="1:9" s="100" customFormat="1" ht="13.8" customHeight="1" x14ac:dyDescent="0.25">
      <c r="A85" s="56"/>
      <c r="B85" s="57"/>
      <c r="C85" s="71"/>
      <c r="D85" s="68"/>
      <c r="E85" s="123"/>
      <c r="F85" s="105" t="s">
        <v>209</v>
      </c>
      <c r="G85" s="85"/>
      <c r="H85" s="15"/>
      <c r="I85" s="58"/>
    </row>
    <row r="86" spans="1:9" s="100" customFormat="1" ht="13.8" customHeight="1" x14ac:dyDescent="0.25">
      <c r="A86" s="56"/>
      <c r="B86" s="57"/>
      <c r="C86" s="71"/>
      <c r="D86" s="68"/>
      <c r="E86" s="123"/>
      <c r="F86" s="105" t="s">
        <v>210</v>
      </c>
      <c r="G86" s="85"/>
      <c r="H86" s="15"/>
      <c r="I86" s="58"/>
    </row>
    <row r="87" spans="1:9" s="100" customFormat="1" ht="13.8" customHeight="1" x14ac:dyDescent="0.25">
      <c r="A87" s="56"/>
      <c r="B87" s="57"/>
      <c r="C87" s="71"/>
      <c r="D87" s="68"/>
      <c r="E87" s="123"/>
      <c r="F87" s="105"/>
      <c r="G87" s="85"/>
      <c r="H87" s="15"/>
      <c r="I87" s="58"/>
    </row>
    <row r="88" spans="1:9" s="107" customFormat="1" ht="13.8" customHeight="1" x14ac:dyDescent="0.25">
      <c r="A88" s="56"/>
      <c r="B88" s="57"/>
      <c r="C88" s="71"/>
      <c r="D88" s="68" t="s">
        <v>200</v>
      </c>
      <c r="E88" s="123"/>
      <c r="F88" s="105"/>
      <c r="G88" s="85"/>
      <c r="H88" s="15"/>
      <c r="I88" s="58">
        <v>1.5</v>
      </c>
    </row>
    <row r="89" spans="1:9" s="107" customFormat="1" ht="13.8" customHeight="1" x14ac:dyDescent="0.25">
      <c r="A89" s="56"/>
      <c r="B89" s="57"/>
      <c r="C89" s="71"/>
      <c r="D89" s="68"/>
      <c r="E89" s="123"/>
      <c r="F89" s="105" t="s">
        <v>202</v>
      </c>
      <c r="G89" s="85"/>
      <c r="H89" s="15"/>
      <c r="I89" s="58"/>
    </row>
    <row r="90" spans="1:9" s="107" customFormat="1" ht="13.8" customHeight="1" x14ac:dyDescent="0.25">
      <c r="A90" s="56"/>
      <c r="B90" s="57"/>
      <c r="C90" s="71"/>
      <c r="D90" s="68"/>
      <c r="E90" s="123"/>
      <c r="F90" s="105" t="s">
        <v>203</v>
      </c>
      <c r="G90" s="85"/>
      <c r="H90" s="15"/>
      <c r="I90" s="58"/>
    </row>
    <row r="91" spans="1:9" s="107" customFormat="1" ht="13.8" customHeight="1" x14ac:dyDescent="0.25">
      <c r="A91" s="56"/>
      <c r="B91" s="57"/>
      <c r="C91" s="71"/>
      <c r="D91" s="68"/>
      <c r="E91" s="123"/>
      <c r="F91" s="105" t="s">
        <v>204</v>
      </c>
      <c r="G91" s="85"/>
      <c r="H91" s="15"/>
      <c r="I91" s="58"/>
    </row>
    <row r="92" spans="1:9" s="107" customFormat="1" ht="13.8" customHeight="1" x14ac:dyDescent="0.25">
      <c r="A92" s="56"/>
      <c r="B92" s="57"/>
      <c r="C92" s="71"/>
      <c r="D92" s="68"/>
      <c r="E92" s="123"/>
      <c r="F92" s="105" t="s">
        <v>205</v>
      </c>
      <c r="G92" s="85"/>
      <c r="H92" s="15"/>
      <c r="I92" s="58"/>
    </row>
    <row r="93" spans="1:9" s="107" customFormat="1" ht="13.8" customHeight="1" x14ac:dyDescent="0.25">
      <c r="A93" s="56"/>
      <c r="B93" s="57"/>
      <c r="C93" s="71"/>
      <c r="D93" s="68"/>
      <c r="E93" s="123"/>
      <c r="F93" s="105" t="s">
        <v>206</v>
      </c>
      <c r="G93" s="85"/>
      <c r="H93" s="15"/>
      <c r="I93" s="58"/>
    </row>
    <row r="94" spans="1:9" s="107" customFormat="1" ht="13.8" customHeight="1" x14ac:dyDescent="0.25">
      <c r="A94" s="56"/>
      <c r="B94" s="57"/>
      <c r="C94" s="71"/>
      <c r="D94" s="68"/>
      <c r="E94" s="123"/>
      <c r="F94" s="105" t="s">
        <v>207</v>
      </c>
      <c r="G94" s="85"/>
      <c r="H94" s="15"/>
      <c r="I94" s="58"/>
    </row>
    <row r="95" spans="1:9" s="107" customFormat="1" ht="13.8" customHeight="1" x14ac:dyDescent="0.25">
      <c r="A95" s="56"/>
      <c r="B95" s="57"/>
      <c r="C95" s="71"/>
      <c r="D95" s="68"/>
      <c r="E95" s="123"/>
      <c r="F95" s="105" t="s">
        <v>208</v>
      </c>
      <c r="G95" s="85"/>
      <c r="H95" s="15"/>
      <c r="I95" s="58"/>
    </row>
    <row r="96" spans="1:9" s="107" customFormat="1" ht="13.8" customHeight="1" x14ac:dyDescent="0.25">
      <c r="A96" s="56"/>
      <c r="B96" s="57"/>
      <c r="C96" s="71"/>
      <c r="D96" s="68"/>
      <c r="E96" s="123"/>
      <c r="F96" s="105"/>
      <c r="G96" s="85"/>
      <c r="H96" s="15"/>
      <c r="I96" s="58"/>
    </row>
    <row r="97" spans="1:14" s="107" customFormat="1" ht="13.8" customHeight="1" x14ac:dyDescent="0.25">
      <c r="A97" s="56"/>
      <c r="B97" s="57"/>
      <c r="C97" s="71"/>
      <c r="D97" s="68"/>
      <c r="E97" s="123"/>
      <c r="F97" s="105"/>
      <c r="G97" s="85"/>
      <c r="H97" s="15"/>
      <c r="I97" s="58"/>
    </row>
    <row r="98" spans="1:14" s="107" customFormat="1" ht="13.8" customHeight="1" x14ac:dyDescent="0.25">
      <c r="A98" s="56"/>
      <c r="B98" s="57"/>
      <c r="C98" s="71"/>
      <c r="D98" s="1" t="s">
        <v>201</v>
      </c>
      <c r="E98" s="123"/>
      <c r="F98" s="105"/>
      <c r="G98" s="85"/>
      <c r="H98" s="15"/>
      <c r="I98" s="58">
        <v>1.6</v>
      </c>
    </row>
    <row r="99" spans="1:14" s="107" customFormat="1" ht="13.8" customHeight="1" x14ac:dyDescent="0.25">
      <c r="A99" s="56"/>
      <c r="B99" s="57"/>
      <c r="C99" s="71"/>
      <c r="D99" s="68"/>
      <c r="E99" s="123"/>
      <c r="F99" s="105" t="s">
        <v>216</v>
      </c>
      <c r="G99" s="85"/>
      <c r="H99" s="15"/>
      <c r="I99" s="58"/>
    </row>
    <row r="100" spans="1:14" s="107" customFormat="1" ht="13.8" customHeight="1" x14ac:dyDescent="0.25">
      <c r="A100" s="56"/>
      <c r="B100" s="57"/>
      <c r="C100" s="71"/>
      <c r="D100" s="68"/>
      <c r="E100" s="123"/>
      <c r="F100" s="105" t="s">
        <v>217</v>
      </c>
      <c r="G100" s="85"/>
      <c r="H100" s="15"/>
      <c r="I100" s="58"/>
    </row>
    <row r="101" spans="1:14" s="107" customFormat="1" ht="13.8" customHeight="1" x14ac:dyDescent="0.25">
      <c r="A101" s="56"/>
      <c r="B101" s="57"/>
      <c r="C101" s="71"/>
      <c r="D101" s="68"/>
      <c r="E101" s="123"/>
      <c r="F101" s="105" t="s">
        <v>218</v>
      </c>
      <c r="G101" s="85"/>
      <c r="H101" s="15"/>
      <c r="I101" s="58"/>
    </row>
    <row r="102" spans="1:14" s="107" customFormat="1" ht="13.8" customHeight="1" x14ac:dyDescent="0.25">
      <c r="A102" s="56"/>
      <c r="B102" s="57"/>
      <c r="C102" s="71"/>
      <c r="D102" s="68"/>
      <c r="E102" s="123"/>
      <c r="F102" s="105" t="s">
        <v>219</v>
      </c>
      <c r="G102" s="85"/>
      <c r="H102" s="15"/>
      <c r="I102" s="58"/>
    </row>
    <row r="103" spans="1:14" s="107" customFormat="1" ht="13.8" customHeight="1" x14ac:dyDescent="0.25">
      <c r="A103" s="56"/>
      <c r="B103" s="57"/>
      <c r="C103" s="71"/>
      <c r="D103" s="68"/>
      <c r="E103" s="123"/>
      <c r="F103" s="105"/>
      <c r="G103" s="85"/>
      <c r="H103" s="15"/>
      <c r="I103" s="58"/>
    </row>
    <row r="104" spans="1:14" s="107" customFormat="1" ht="13.8" customHeight="1" x14ac:dyDescent="0.25">
      <c r="A104" s="56"/>
      <c r="B104" s="57"/>
      <c r="C104" s="71"/>
      <c r="D104" s="68"/>
      <c r="E104" s="123"/>
      <c r="F104" s="105"/>
      <c r="G104" s="85"/>
      <c r="H104" s="15"/>
      <c r="I104" s="58"/>
    </row>
    <row r="105" spans="1:14" ht="13.8" customHeight="1" thickBot="1" x14ac:dyDescent="0.3">
      <c r="A105" s="15" t="s">
        <v>31</v>
      </c>
      <c r="B105" s="117" t="s">
        <v>31</v>
      </c>
      <c r="C105" s="71" t="s">
        <v>31</v>
      </c>
      <c r="D105" s="117" t="s">
        <v>31</v>
      </c>
      <c r="E105" s="123" t="s">
        <v>31</v>
      </c>
      <c r="F105" s="128" t="s">
        <v>31</v>
      </c>
      <c r="G105" s="14" t="s">
        <v>31</v>
      </c>
      <c r="H105" s="15"/>
      <c r="I105" s="17"/>
    </row>
    <row r="106" spans="1:14" ht="13.8" customHeight="1" thickBot="1" x14ac:dyDescent="0.3">
      <c r="A106" s="37" t="s">
        <v>15</v>
      </c>
      <c r="B106" s="54" t="s">
        <v>16</v>
      </c>
      <c r="C106" s="54" t="s">
        <v>6</v>
      </c>
      <c r="D106" s="54" t="s">
        <v>1</v>
      </c>
      <c r="E106" s="54" t="s">
        <v>2</v>
      </c>
      <c r="F106" s="54" t="s">
        <v>8</v>
      </c>
      <c r="G106" s="38" t="s">
        <v>9</v>
      </c>
      <c r="H106" s="39" t="s">
        <v>3</v>
      </c>
      <c r="I106" s="40" t="s">
        <v>4</v>
      </c>
      <c r="J106" s="41" t="s">
        <v>37</v>
      </c>
      <c r="K106" s="42" t="s">
        <v>5</v>
      </c>
      <c r="L106" s="43">
        <f>SUM(I107:I193)</f>
        <v>7.7</v>
      </c>
      <c r="N106" s="3"/>
    </row>
    <row r="107" spans="1:14" ht="13.8" customHeight="1" x14ac:dyDescent="0.25">
      <c r="A107" s="15" t="s">
        <v>131</v>
      </c>
      <c r="B107" s="117" t="s">
        <v>132</v>
      </c>
      <c r="C107" s="71" t="s">
        <v>31</v>
      </c>
      <c r="D107" s="117" t="s">
        <v>31</v>
      </c>
      <c r="E107" s="71" t="s">
        <v>31</v>
      </c>
      <c r="F107" s="120" t="s">
        <v>31</v>
      </c>
      <c r="G107" s="14" t="s">
        <v>31</v>
      </c>
      <c r="H107" s="15"/>
      <c r="I107" s="17"/>
    </row>
    <row r="108" spans="1:14" s="107" customFormat="1" ht="13.8" customHeight="1" x14ac:dyDescent="0.25">
      <c r="A108" s="15"/>
      <c r="B108" s="119"/>
      <c r="C108" s="114" t="s">
        <v>39</v>
      </c>
      <c r="D108" s="1" t="s">
        <v>119</v>
      </c>
      <c r="E108" s="129"/>
      <c r="F108" s="135"/>
      <c r="G108" s="110"/>
      <c r="H108" s="111"/>
      <c r="I108" s="112">
        <v>1.1000000000000001</v>
      </c>
    </row>
    <row r="109" spans="1:14" s="107" customFormat="1" ht="13.8" customHeight="1" x14ac:dyDescent="0.25">
      <c r="A109" s="15"/>
      <c r="B109" s="119"/>
      <c r="C109" s="114"/>
      <c r="D109" s="109"/>
      <c r="E109" s="129"/>
      <c r="F109" s="113" t="s">
        <v>153</v>
      </c>
      <c r="G109" s="110"/>
      <c r="H109" s="111"/>
      <c r="I109" s="112"/>
    </row>
    <row r="110" spans="1:14" s="107" customFormat="1" ht="13.8" customHeight="1" x14ac:dyDescent="0.25">
      <c r="A110" s="15"/>
      <c r="B110" s="119"/>
      <c r="C110" s="114"/>
      <c r="D110" s="109"/>
      <c r="E110" s="129"/>
      <c r="F110" s="113" t="s">
        <v>150</v>
      </c>
      <c r="G110" s="110"/>
      <c r="H110" s="111"/>
      <c r="I110" s="112"/>
    </row>
    <row r="111" spans="1:14" s="107" customFormat="1" ht="13.8" customHeight="1" x14ac:dyDescent="0.25">
      <c r="A111" s="15"/>
      <c r="B111" s="119"/>
      <c r="C111" s="114"/>
      <c r="D111" s="109"/>
      <c r="E111" s="129"/>
      <c r="F111" s="113" t="s">
        <v>151</v>
      </c>
      <c r="G111" s="110"/>
      <c r="H111" s="111"/>
      <c r="I111" s="112"/>
    </row>
    <row r="112" spans="1:14" s="107" customFormat="1" ht="13.8" customHeight="1" x14ac:dyDescent="0.25">
      <c r="A112" s="15"/>
      <c r="B112" s="119"/>
      <c r="C112" s="114"/>
      <c r="D112" s="109"/>
      <c r="E112" s="129"/>
      <c r="F112" s="113" t="s">
        <v>135</v>
      </c>
      <c r="G112" s="110"/>
      <c r="H112" s="111"/>
      <c r="I112" s="112"/>
    </row>
    <row r="113" spans="1:9" s="107" customFormat="1" ht="13.8" customHeight="1" x14ac:dyDescent="0.25">
      <c r="A113" s="15"/>
      <c r="B113" s="119"/>
      <c r="C113" s="114"/>
      <c r="D113" s="109"/>
      <c r="E113" s="129"/>
      <c r="F113" s="113" t="s">
        <v>152</v>
      </c>
      <c r="G113" s="110"/>
      <c r="H113" s="111"/>
      <c r="I113" s="112"/>
    </row>
    <row r="114" spans="1:9" s="107" customFormat="1" ht="13.8" customHeight="1" x14ac:dyDescent="0.25">
      <c r="A114" s="15"/>
      <c r="B114" s="119"/>
      <c r="C114" s="114"/>
      <c r="D114" s="136"/>
      <c r="E114" s="130"/>
      <c r="F114" s="113" t="s">
        <v>109</v>
      </c>
      <c r="G114" s="110"/>
      <c r="H114" s="108"/>
      <c r="I114" s="112"/>
    </row>
    <row r="115" spans="1:9" s="107" customFormat="1" ht="13.8" customHeight="1" x14ac:dyDescent="0.25">
      <c r="A115" s="15"/>
      <c r="B115" s="119"/>
      <c r="C115" s="114"/>
      <c r="D115" s="109"/>
      <c r="E115" s="130" t="s">
        <v>31</v>
      </c>
      <c r="F115" s="115" t="s">
        <v>242</v>
      </c>
      <c r="G115" s="110"/>
      <c r="H115" s="108"/>
      <c r="I115" s="112"/>
    </row>
    <row r="116" spans="1:9" s="107" customFormat="1" ht="13.8" customHeight="1" x14ac:dyDescent="0.25">
      <c r="A116" s="15"/>
      <c r="B116" s="119"/>
      <c r="C116" s="114"/>
      <c r="D116" s="136"/>
      <c r="E116" s="130"/>
      <c r="F116" s="113" t="s">
        <v>241</v>
      </c>
      <c r="G116" s="110"/>
      <c r="H116" s="108"/>
      <c r="I116" s="112"/>
    </row>
    <row r="117" spans="1:9" s="107" customFormat="1" ht="13.8" customHeight="1" x14ac:dyDescent="0.25">
      <c r="A117" s="15"/>
      <c r="B117" s="119"/>
      <c r="C117" s="114"/>
      <c r="D117" s="136"/>
      <c r="E117" s="130"/>
      <c r="F117" s="113" t="s">
        <v>136</v>
      </c>
      <c r="G117" s="110"/>
      <c r="H117" s="108"/>
      <c r="I117" s="112"/>
    </row>
    <row r="118" spans="1:9" s="107" customFormat="1" ht="13.8" customHeight="1" x14ac:dyDescent="0.25">
      <c r="A118" s="15"/>
      <c r="B118" s="119"/>
      <c r="C118" s="71"/>
      <c r="D118" s="126"/>
      <c r="E118" s="71"/>
      <c r="F118" s="104"/>
      <c r="G118" s="85"/>
      <c r="H118" s="15"/>
      <c r="I118" s="59"/>
    </row>
    <row r="119" spans="1:9" s="100" customFormat="1" ht="13.8" customHeight="1" x14ac:dyDescent="0.25">
      <c r="A119" s="15"/>
      <c r="B119" s="119"/>
      <c r="C119" s="71" t="s">
        <v>39</v>
      </c>
      <c r="D119" s="1" t="s">
        <v>114</v>
      </c>
      <c r="E119" s="71" t="s">
        <v>31</v>
      </c>
      <c r="F119" s="103"/>
      <c r="G119" s="85" t="s">
        <v>31</v>
      </c>
      <c r="H119" s="15"/>
      <c r="I119" s="58">
        <v>0.5</v>
      </c>
    </row>
    <row r="120" spans="1:9" s="100" customFormat="1" ht="13.8" customHeight="1" x14ac:dyDescent="0.25">
      <c r="A120" s="15"/>
      <c r="B120" s="119"/>
      <c r="C120" s="71" t="s">
        <v>31</v>
      </c>
      <c r="D120" s="57"/>
      <c r="E120" s="71" t="s">
        <v>31</v>
      </c>
      <c r="F120" s="103" t="s">
        <v>101</v>
      </c>
      <c r="G120" s="85" t="s">
        <v>31</v>
      </c>
      <c r="H120" s="15"/>
      <c r="I120" s="58"/>
    </row>
    <row r="121" spans="1:9" s="100" customFormat="1" ht="13.8" customHeight="1" x14ac:dyDescent="0.25">
      <c r="A121" s="15"/>
      <c r="B121" s="119"/>
      <c r="C121" s="71"/>
      <c r="D121" s="57"/>
      <c r="E121" s="71"/>
      <c r="F121" s="103" t="s">
        <v>154</v>
      </c>
      <c r="G121" s="85"/>
      <c r="H121" s="15"/>
      <c r="I121" s="58"/>
    </row>
    <row r="122" spans="1:9" s="100" customFormat="1" ht="13.8" customHeight="1" x14ac:dyDescent="0.25">
      <c r="A122" s="15"/>
      <c r="B122" s="119"/>
      <c r="C122" s="71"/>
      <c r="D122" s="57"/>
      <c r="E122" s="71"/>
      <c r="F122" s="103" t="s">
        <v>155</v>
      </c>
      <c r="G122" s="85"/>
      <c r="H122" s="15"/>
      <c r="I122" s="58"/>
    </row>
    <row r="123" spans="1:9" s="100" customFormat="1" ht="13.8" customHeight="1" x14ac:dyDescent="0.25">
      <c r="A123" s="15"/>
      <c r="B123" s="119"/>
      <c r="C123" s="71"/>
      <c r="D123" s="57"/>
      <c r="E123" s="71"/>
      <c r="F123" s="103" t="s">
        <v>156</v>
      </c>
      <c r="G123" s="85"/>
      <c r="H123" s="15"/>
      <c r="I123" s="58"/>
    </row>
    <row r="124" spans="1:9" s="100" customFormat="1" ht="13.8" customHeight="1" x14ac:dyDescent="0.25">
      <c r="A124" s="15"/>
      <c r="B124" s="119"/>
      <c r="C124" s="71"/>
      <c r="D124" s="57"/>
      <c r="E124" s="71"/>
      <c r="F124" s="103" t="s">
        <v>123</v>
      </c>
      <c r="G124" s="85"/>
      <c r="H124" s="15"/>
      <c r="I124" s="58"/>
    </row>
    <row r="125" spans="1:9" s="100" customFormat="1" ht="13.8" customHeight="1" x14ac:dyDescent="0.25">
      <c r="A125" s="15"/>
      <c r="B125" s="119"/>
      <c r="C125" s="71"/>
      <c r="D125" s="68"/>
      <c r="E125" s="71"/>
      <c r="F125" s="103"/>
      <c r="G125" s="85"/>
      <c r="H125" s="15"/>
      <c r="I125" s="58"/>
    </row>
    <row r="126" spans="1:9" s="100" customFormat="1" ht="13.8" customHeight="1" x14ac:dyDescent="0.25">
      <c r="A126" s="15"/>
      <c r="B126" s="119"/>
      <c r="C126" s="71" t="s">
        <v>39</v>
      </c>
      <c r="D126" s="1" t="s">
        <v>113</v>
      </c>
      <c r="E126" s="71" t="s">
        <v>31</v>
      </c>
      <c r="F126" s="103"/>
      <c r="G126" s="85" t="s">
        <v>31</v>
      </c>
      <c r="H126" s="15"/>
      <c r="I126" s="58">
        <v>1.3</v>
      </c>
    </row>
    <row r="127" spans="1:9" s="100" customFormat="1" ht="13.8" customHeight="1" x14ac:dyDescent="0.25">
      <c r="A127" s="15"/>
      <c r="B127" s="119"/>
      <c r="C127" s="71" t="s">
        <v>31</v>
      </c>
      <c r="D127" s="57"/>
      <c r="E127" s="71" t="s">
        <v>31</v>
      </c>
      <c r="F127" s="103" t="s">
        <v>157</v>
      </c>
      <c r="G127" s="85" t="s">
        <v>31</v>
      </c>
      <c r="H127" s="15"/>
      <c r="I127" s="58"/>
    </row>
    <row r="128" spans="1:9" s="100" customFormat="1" ht="13.8" customHeight="1" x14ac:dyDescent="0.25">
      <c r="A128" s="15"/>
      <c r="B128" s="119"/>
      <c r="C128" s="71" t="s">
        <v>31</v>
      </c>
      <c r="D128" s="57"/>
      <c r="E128" s="71" t="s">
        <v>31</v>
      </c>
      <c r="F128" s="103" t="s">
        <v>158</v>
      </c>
      <c r="G128" s="85" t="s">
        <v>31</v>
      </c>
      <c r="H128" s="15"/>
      <c r="I128" s="58"/>
    </row>
    <row r="129" spans="1:9" s="100" customFormat="1" ht="13.8" customHeight="1" x14ac:dyDescent="0.25">
      <c r="A129" s="15"/>
      <c r="B129" s="119"/>
      <c r="C129" s="71"/>
      <c r="D129" s="57"/>
      <c r="E129" s="71"/>
      <c r="F129" s="103" t="s">
        <v>159</v>
      </c>
      <c r="G129" s="85"/>
      <c r="H129" s="15"/>
      <c r="I129" s="58"/>
    </row>
    <row r="130" spans="1:9" s="100" customFormat="1" ht="13.8" customHeight="1" x14ac:dyDescent="0.25">
      <c r="A130" s="15"/>
      <c r="B130" s="119"/>
      <c r="C130" s="71"/>
      <c r="D130" s="57"/>
      <c r="E130" s="71"/>
      <c r="F130" s="103" t="s">
        <v>102</v>
      </c>
      <c r="G130" s="85"/>
      <c r="H130" s="15"/>
      <c r="I130" s="58"/>
    </row>
    <row r="131" spans="1:9" s="100" customFormat="1" ht="13.8" customHeight="1" x14ac:dyDescent="0.25">
      <c r="A131" s="15"/>
      <c r="B131" s="119"/>
      <c r="C131" s="71"/>
      <c r="D131" s="57"/>
      <c r="E131" s="71"/>
      <c r="F131" s="103" t="s">
        <v>160</v>
      </c>
      <c r="G131" s="85"/>
      <c r="H131" s="15"/>
      <c r="I131" s="58"/>
    </row>
    <row r="132" spans="1:9" s="100" customFormat="1" ht="13.8" customHeight="1" x14ac:dyDescent="0.25">
      <c r="A132" s="15"/>
      <c r="B132" s="119"/>
      <c r="C132" s="71"/>
      <c r="D132" s="57"/>
      <c r="E132" s="71"/>
      <c r="F132" s="103" t="s">
        <v>161</v>
      </c>
      <c r="G132" s="85"/>
      <c r="H132" s="15"/>
      <c r="I132" s="58"/>
    </row>
    <row r="133" spans="1:9" s="100" customFormat="1" ht="13.8" customHeight="1" x14ac:dyDescent="0.25">
      <c r="A133" s="15"/>
      <c r="B133" s="119"/>
      <c r="C133" s="71"/>
      <c r="D133" s="57"/>
      <c r="E133" s="71"/>
      <c r="F133" s="103" t="s">
        <v>162</v>
      </c>
      <c r="G133" s="85"/>
      <c r="H133" s="15"/>
      <c r="I133" s="58"/>
    </row>
    <row r="134" spans="1:9" s="100" customFormat="1" ht="13.8" customHeight="1" x14ac:dyDescent="0.25">
      <c r="A134" s="15"/>
      <c r="B134" s="119"/>
      <c r="C134" s="71"/>
      <c r="D134" s="57"/>
      <c r="E134" s="71"/>
      <c r="F134" s="103" t="s">
        <v>163</v>
      </c>
      <c r="G134" s="85"/>
      <c r="H134" s="15"/>
      <c r="I134" s="58"/>
    </row>
    <row r="135" spans="1:9" s="100" customFormat="1" ht="13.8" customHeight="1" x14ac:dyDescent="0.25">
      <c r="A135" s="15"/>
      <c r="B135" s="119"/>
      <c r="C135" s="71"/>
      <c r="D135" s="57"/>
      <c r="E135" s="71"/>
      <c r="F135" s="103" t="s">
        <v>240</v>
      </c>
      <c r="G135" s="85"/>
      <c r="H135" s="15"/>
      <c r="I135" s="58"/>
    </row>
    <row r="136" spans="1:9" s="100" customFormat="1" ht="13.8" customHeight="1" x14ac:dyDescent="0.25">
      <c r="A136" s="15"/>
      <c r="B136" s="119"/>
      <c r="C136" s="71"/>
      <c r="D136" s="57"/>
      <c r="E136" s="71"/>
      <c r="F136" s="103" t="s">
        <v>124</v>
      </c>
      <c r="G136" s="85"/>
      <c r="H136" s="15"/>
      <c r="I136" s="58"/>
    </row>
    <row r="137" spans="1:9" s="100" customFormat="1" ht="13.8" customHeight="1" x14ac:dyDescent="0.25">
      <c r="A137" s="15"/>
      <c r="B137" s="119"/>
      <c r="C137" s="71"/>
      <c r="D137" s="57"/>
      <c r="E137" s="71"/>
      <c r="F137" s="103" t="s">
        <v>138</v>
      </c>
      <c r="G137" s="85"/>
      <c r="H137" s="15"/>
      <c r="I137" s="58"/>
    </row>
    <row r="138" spans="1:9" s="106" customFormat="1" ht="13.8" customHeight="1" x14ac:dyDescent="0.25">
      <c r="A138" s="15"/>
      <c r="B138" s="119"/>
      <c r="C138" s="71"/>
      <c r="D138" s="57"/>
      <c r="E138" s="71"/>
      <c r="F138" s="103" t="s">
        <v>137</v>
      </c>
      <c r="G138" s="85"/>
      <c r="H138" s="15"/>
      <c r="I138" s="58"/>
    </row>
    <row r="139" spans="1:9" s="100" customFormat="1" ht="13.8" customHeight="1" x14ac:dyDescent="0.25">
      <c r="A139" s="15"/>
      <c r="B139" s="119"/>
      <c r="C139" s="71"/>
      <c r="D139" s="57"/>
      <c r="E139" s="71"/>
      <c r="F139" s="103"/>
      <c r="G139" s="85"/>
      <c r="H139" s="15"/>
      <c r="I139" s="58"/>
    </row>
    <row r="140" spans="1:9" s="100" customFormat="1" ht="13.8" customHeight="1" x14ac:dyDescent="0.25">
      <c r="A140" s="15"/>
      <c r="B140" s="119"/>
      <c r="C140" s="71" t="s">
        <v>39</v>
      </c>
      <c r="D140" s="1" t="s">
        <v>112</v>
      </c>
      <c r="E140" s="71"/>
      <c r="F140" s="103"/>
      <c r="G140" s="85"/>
      <c r="H140" s="15"/>
      <c r="I140" s="58">
        <v>0.5</v>
      </c>
    </row>
    <row r="141" spans="1:9" s="100" customFormat="1" ht="13.8" customHeight="1" x14ac:dyDescent="0.25">
      <c r="A141" s="15"/>
      <c r="B141" s="119"/>
      <c r="C141" s="71"/>
      <c r="D141" s="57"/>
      <c r="E141" s="71"/>
      <c r="F141" s="103" t="s">
        <v>164</v>
      </c>
      <c r="G141" s="85"/>
      <c r="H141" s="15"/>
      <c r="I141" s="58"/>
    </row>
    <row r="142" spans="1:9" s="100" customFormat="1" ht="13.8" customHeight="1" x14ac:dyDescent="0.25">
      <c r="A142" s="15"/>
      <c r="B142" s="119"/>
      <c r="C142" s="71"/>
      <c r="D142" s="57"/>
      <c r="E142" s="71"/>
      <c r="F142" s="103" t="s">
        <v>165</v>
      </c>
      <c r="G142" s="85"/>
      <c r="H142" s="15"/>
      <c r="I142" s="58"/>
    </row>
    <row r="143" spans="1:9" s="100" customFormat="1" ht="13.8" customHeight="1" x14ac:dyDescent="0.25">
      <c r="A143" s="15"/>
      <c r="B143" s="119"/>
      <c r="C143" s="71"/>
      <c r="D143" s="68"/>
      <c r="E143" s="71"/>
      <c r="F143" s="103"/>
      <c r="G143" s="85"/>
      <c r="H143" s="15"/>
      <c r="I143" s="58"/>
    </row>
    <row r="144" spans="1:9" s="100" customFormat="1" ht="13.8" customHeight="1" x14ac:dyDescent="0.25">
      <c r="A144" s="15"/>
      <c r="B144" s="119"/>
      <c r="C144" s="71"/>
      <c r="D144" s="68"/>
      <c r="E144" s="71"/>
      <c r="F144" s="103"/>
      <c r="G144" s="85"/>
      <c r="H144" s="15"/>
      <c r="I144" s="58"/>
    </row>
    <row r="145" spans="1:9" s="100" customFormat="1" ht="13.8" customHeight="1" x14ac:dyDescent="0.25">
      <c r="A145" s="15"/>
      <c r="B145" s="119"/>
      <c r="C145" s="71" t="s">
        <v>39</v>
      </c>
      <c r="D145" s="1" t="s">
        <v>111</v>
      </c>
      <c r="E145" s="71"/>
      <c r="F145" s="103"/>
      <c r="G145" s="85"/>
      <c r="H145" s="15"/>
      <c r="I145" s="58">
        <v>1.1000000000000001</v>
      </c>
    </row>
    <row r="146" spans="1:9" s="100" customFormat="1" ht="13.8" customHeight="1" x14ac:dyDescent="0.25">
      <c r="A146" s="15"/>
      <c r="B146" s="119"/>
      <c r="C146" s="71"/>
      <c r="D146" s="57"/>
      <c r="E146" s="71"/>
      <c r="F146" s="103" t="s">
        <v>166</v>
      </c>
      <c r="G146" s="85"/>
      <c r="H146" s="15"/>
      <c r="I146" s="58"/>
    </row>
    <row r="147" spans="1:9" s="100" customFormat="1" ht="13.8" customHeight="1" x14ac:dyDescent="0.25">
      <c r="A147" s="15"/>
      <c r="B147" s="119"/>
      <c r="C147" s="71"/>
      <c r="D147" s="57"/>
      <c r="E147" s="71"/>
      <c r="F147" s="103" t="s">
        <v>167</v>
      </c>
      <c r="G147" s="85"/>
      <c r="H147" s="15"/>
      <c r="I147" s="58"/>
    </row>
    <row r="148" spans="1:9" s="100" customFormat="1" ht="13.8" customHeight="1" x14ac:dyDescent="0.25">
      <c r="A148" s="15"/>
      <c r="B148" s="119"/>
      <c r="C148" s="71"/>
      <c r="D148" s="57"/>
      <c r="E148" s="71"/>
      <c r="F148" s="103" t="s">
        <v>115</v>
      </c>
      <c r="G148" s="85"/>
      <c r="H148" s="15"/>
      <c r="I148" s="58"/>
    </row>
    <row r="149" spans="1:9" s="100" customFormat="1" ht="13.8" customHeight="1" x14ac:dyDescent="0.25">
      <c r="A149" s="15"/>
      <c r="B149" s="119"/>
      <c r="C149" s="71"/>
      <c r="D149" s="57"/>
      <c r="E149" s="71"/>
      <c r="F149" s="103" t="s">
        <v>126</v>
      </c>
      <c r="G149" s="85"/>
      <c r="H149" s="15"/>
      <c r="I149" s="58"/>
    </row>
    <row r="150" spans="1:9" s="100" customFormat="1" ht="13.8" customHeight="1" x14ac:dyDescent="0.25">
      <c r="A150" s="15"/>
      <c r="B150" s="119"/>
      <c r="C150" s="71"/>
      <c r="D150" s="57"/>
      <c r="E150" s="71"/>
      <c r="F150" s="103" t="s">
        <v>116</v>
      </c>
      <c r="G150" s="85"/>
      <c r="H150" s="15"/>
      <c r="I150" s="58"/>
    </row>
    <row r="151" spans="1:9" s="100" customFormat="1" ht="13.8" customHeight="1" x14ac:dyDescent="0.25">
      <c r="A151" s="15"/>
      <c r="B151" s="119"/>
      <c r="C151" s="71"/>
      <c r="D151" s="57"/>
      <c r="E151" s="71"/>
      <c r="F151" s="103" t="s">
        <v>238</v>
      </c>
      <c r="G151" s="85"/>
      <c r="H151" s="15"/>
      <c r="I151" s="58"/>
    </row>
    <row r="152" spans="1:9" s="118" customFormat="1" ht="13.8" customHeight="1" x14ac:dyDescent="0.25">
      <c r="A152" s="15"/>
      <c r="B152" s="119"/>
      <c r="C152" s="71"/>
      <c r="D152" s="57"/>
      <c r="E152" s="71"/>
      <c r="F152" s="103" t="s">
        <v>213</v>
      </c>
      <c r="G152" s="85"/>
      <c r="H152" s="15"/>
      <c r="I152" s="58"/>
    </row>
    <row r="153" spans="1:9" s="100" customFormat="1" ht="13.8" customHeight="1" x14ac:dyDescent="0.25">
      <c r="A153" s="15"/>
      <c r="B153" s="119"/>
      <c r="C153" s="71"/>
      <c r="D153" s="57"/>
      <c r="E153" s="71"/>
      <c r="F153" s="103" t="s">
        <v>239</v>
      </c>
      <c r="G153" s="85"/>
      <c r="H153" s="15"/>
      <c r="I153" s="58"/>
    </row>
    <row r="154" spans="1:9" s="100" customFormat="1" ht="13.8" customHeight="1" x14ac:dyDescent="0.25">
      <c r="A154" s="15"/>
      <c r="B154" s="119"/>
      <c r="C154" s="71"/>
      <c r="D154" s="57"/>
      <c r="E154" s="71"/>
      <c r="F154" s="103" t="s">
        <v>168</v>
      </c>
      <c r="G154" s="85"/>
      <c r="H154" s="15"/>
      <c r="I154" s="58"/>
    </row>
    <row r="155" spans="1:9" s="100" customFormat="1" ht="13.8" customHeight="1" x14ac:dyDescent="0.25">
      <c r="A155" s="15"/>
      <c r="B155" s="119"/>
      <c r="C155" s="71"/>
      <c r="D155" s="57"/>
      <c r="E155" s="71"/>
      <c r="F155" s="103" t="s">
        <v>169</v>
      </c>
      <c r="G155" s="85"/>
      <c r="H155" s="15"/>
      <c r="I155" s="58"/>
    </row>
    <row r="156" spans="1:9" s="100" customFormat="1" ht="13.8" customHeight="1" x14ac:dyDescent="0.25">
      <c r="A156" s="15"/>
      <c r="B156" s="119"/>
      <c r="C156" s="71"/>
      <c r="D156" s="57"/>
      <c r="E156" s="71"/>
      <c r="F156" s="103"/>
      <c r="G156" s="85"/>
      <c r="H156" s="15"/>
      <c r="I156" s="58"/>
    </row>
    <row r="157" spans="1:9" s="100" customFormat="1" ht="13.8" customHeight="1" x14ac:dyDescent="0.25">
      <c r="A157" s="15"/>
      <c r="B157" s="119"/>
      <c r="C157" s="71" t="s">
        <v>39</v>
      </c>
      <c r="D157" s="137" t="s">
        <v>125</v>
      </c>
      <c r="E157" s="71"/>
      <c r="F157" s="103"/>
      <c r="G157" s="85"/>
      <c r="H157" s="15"/>
      <c r="I157" s="58">
        <v>1.2</v>
      </c>
    </row>
    <row r="158" spans="1:9" s="100" customFormat="1" ht="13.8" customHeight="1" x14ac:dyDescent="0.25">
      <c r="A158" s="15"/>
      <c r="B158" s="119"/>
      <c r="C158" s="71"/>
      <c r="D158" s="68"/>
      <c r="E158" s="71"/>
      <c r="F158" s="103" t="s">
        <v>170</v>
      </c>
      <c r="G158" s="85"/>
      <c r="H158" s="15"/>
      <c r="I158" s="58"/>
    </row>
    <row r="159" spans="1:9" s="100" customFormat="1" ht="13.8" customHeight="1" x14ac:dyDescent="0.25">
      <c r="A159" s="15"/>
      <c r="B159" s="119"/>
      <c r="C159" s="71"/>
      <c r="D159" s="68"/>
      <c r="E159" s="71"/>
      <c r="F159" s="103" t="s">
        <v>117</v>
      </c>
      <c r="G159" s="85"/>
      <c r="H159" s="15"/>
      <c r="I159" s="58"/>
    </row>
    <row r="160" spans="1:9" s="100" customFormat="1" ht="13.8" customHeight="1" x14ac:dyDescent="0.25">
      <c r="A160" s="15"/>
      <c r="B160" s="119"/>
      <c r="C160" s="71"/>
      <c r="D160" s="68"/>
      <c r="E160" s="71"/>
      <c r="F160" s="103" t="s">
        <v>234</v>
      </c>
      <c r="G160" s="85"/>
      <c r="H160" s="15"/>
      <c r="I160" s="58"/>
    </row>
    <row r="161" spans="1:9" s="106" customFormat="1" ht="13.8" customHeight="1" x14ac:dyDescent="0.25">
      <c r="A161" s="15"/>
      <c r="B161" s="119"/>
      <c r="C161" s="71"/>
      <c r="D161" s="68"/>
      <c r="E161" s="71"/>
      <c r="F161" s="103" t="s">
        <v>235</v>
      </c>
      <c r="G161" s="85"/>
      <c r="H161" s="15"/>
      <c r="I161" s="58"/>
    </row>
    <row r="162" spans="1:9" s="106" customFormat="1" ht="13.8" customHeight="1" x14ac:dyDescent="0.25">
      <c r="A162" s="15"/>
      <c r="B162" s="119"/>
      <c r="C162" s="71"/>
      <c r="D162" s="68"/>
      <c r="E162" s="71"/>
      <c r="F162" s="103" t="s">
        <v>236</v>
      </c>
      <c r="G162" s="85"/>
      <c r="H162" s="15"/>
      <c r="I162" s="58"/>
    </row>
    <row r="163" spans="1:9" s="106" customFormat="1" ht="13.8" customHeight="1" x14ac:dyDescent="0.25">
      <c r="A163" s="15"/>
      <c r="B163" s="119"/>
      <c r="C163" s="71"/>
      <c r="D163" s="68"/>
      <c r="E163" s="71"/>
      <c r="F163" s="103" t="s">
        <v>237</v>
      </c>
      <c r="G163" s="85"/>
      <c r="H163" s="15"/>
      <c r="I163" s="58"/>
    </row>
    <row r="164" spans="1:9" s="100" customFormat="1" ht="13.8" customHeight="1" x14ac:dyDescent="0.25">
      <c r="A164" s="15"/>
      <c r="B164" s="119"/>
      <c r="C164" s="71"/>
      <c r="D164" s="68"/>
      <c r="E164" s="71"/>
      <c r="F164" s="103" t="s">
        <v>231</v>
      </c>
      <c r="G164" s="85"/>
      <c r="H164" s="15"/>
      <c r="I164" s="58"/>
    </row>
    <row r="165" spans="1:9" s="106" customFormat="1" ht="13.8" customHeight="1" x14ac:dyDescent="0.25">
      <c r="A165" s="15"/>
      <c r="B165" s="119"/>
      <c r="C165" s="71"/>
      <c r="D165" s="68"/>
      <c r="E165" s="71"/>
      <c r="F165" s="103" t="s">
        <v>232</v>
      </c>
      <c r="G165" s="85"/>
      <c r="H165" s="15"/>
      <c r="I165" s="58"/>
    </row>
    <row r="166" spans="1:9" s="106" customFormat="1" ht="13.8" customHeight="1" x14ac:dyDescent="0.25">
      <c r="A166" s="15"/>
      <c r="B166" s="119"/>
      <c r="C166" s="71"/>
      <c r="D166" s="68"/>
      <c r="E166" s="71"/>
      <c r="F166" s="103" t="s">
        <v>233</v>
      </c>
      <c r="G166" s="85"/>
      <c r="H166" s="15"/>
      <c r="I166" s="58"/>
    </row>
    <row r="167" spans="1:9" s="100" customFormat="1" ht="13.8" customHeight="1" x14ac:dyDescent="0.25">
      <c r="A167" s="15"/>
      <c r="B167" s="119"/>
      <c r="C167" s="71"/>
      <c r="D167" s="68"/>
      <c r="E167" s="71"/>
      <c r="F167" s="103" t="s">
        <v>171</v>
      </c>
      <c r="G167" s="85"/>
      <c r="H167" s="15"/>
      <c r="I167" s="58"/>
    </row>
    <row r="168" spans="1:9" s="100" customFormat="1" ht="13.8" customHeight="1" x14ac:dyDescent="0.25">
      <c r="A168" s="15"/>
      <c r="B168" s="119"/>
      <c r="C168" s="71"/>
      <c r="D168" s="68"/>
      <c r="E168" s="71"/>
      <c r="F168" s="103" t="s">
        <v>172</v>
      </c>
      <c r="G168" s="85"/>
      <c r="H168" s="15"/>
      <c r="I168" s="58"/>
    </row>
    <row r="169" spans="1:9" s="100" customFormat="1" ht="13.8" customHeight="1" x14ac:dyDescent="0.25">
      <c r="A169" s="15"/>
      <c r="B169" s="119"/>
      <c r="C169" s="71"/>
      <c r="D169" s="68"/>
      <c r="E169" s="71"/>
      <c r="F169" s="103"/>
      <c r="G169" s="85"/>
      <c r="H169" s="15"/>
      <c r="I169" s="58"/>
    </row>
    <row r="170" spans="1:9" s="100" customFormat="1" ht="13.8" customHeight="1" x14ac:dyDescent="0.25">
      <c r="A170" s="15"/>
      <c r="B170" s="119"/>
      <c r="C170" s="71" t="s">
        <v>39</v>
      </c>
      <c r="D170" s="1" t="s">
        <v>118</v>
      </c>
      <c r="E170" s="71"/>
      <c r="F170" s="69"/>
      <c r="G170" s="85"/>
      <c r="H170" s="15"/>
      <c r="I170" s="58">
        <v>0.6</v>
      </c>
    </row>
    <row r="171" spans="1:9" s="100" customFormat="1" ht="13.8" customHeight="1" x14ac:dyDescent="0.25">
      <c r="A171" s="15"/>
      <c r="B171" s="119"/>
      <c r="C171" s="71"/>
      <c r="D171" s="68"/>
      <c r="E171" s="71"/>
      <c r="F171" s="69" t="s">
        <v>228</v>
      </c>
      <c r="G171" s="85"/>
      <c r="H171" s="15"/>
      <c r="I171" s="58"/>
    </row>
    <row r="172" spans="1:9" s="100" customFormat="1" ht="13.8" customHeight="1" x14ac:dyDescent="0.25">
      <c r="A172" s="15"/>
      <c r="B172" s="119"/>
      <c r="C172" s="71"/>
      <c r="D172" s="68"/>
      <c r="E172" s="71"/>
      <c r="F172" s="69" t="s">
        <v>229</v>
      </c>
      <c r="G172" s="85"/>
      <c r="H172" s="15"/>
      <c r="I172" s="58"/>
    </row>
    <row r="173" spans="1:9" s="100" customFormat="1" ht="13.8" customHeight="1" x14ac:dyDescent="0.25">
      <c r="A173" s="15"/>
      <c r="B173" s="119"/>
      <c r="C173" s="71"/>
      <c r="D173" s="68"/>
      <c r="E173" s="71"/>
      <c r="F173" s="69" t="s">
        <v>120</v>
      </c>
      <c r="G173" s="85"/>
      <c r="H173" s="15"/>
      <c r="I173" s="58"/>
    </row>
    <row r="174" spans="1:9" s="100" customFormat="1" ht="13.8" customHeight="1" x14ac:dyDescent="0.25">
      <c r="A174" s="15"/>
      <c r="B174" s="119"/>
      <c r="C174" s="71"/>
      <c r="D174" s="119"/>
      <c r="E174" s="71"/>
      <c r="F174" s="104" t="s">
        <v>230</v>
      </c>
      <c r="G174" s="85"/>
      <c r="H174" s="15"/>
      <c r="I174" s="59"/>
    </row>
    <row r="175" spans="1:9" s="101" customFormat="1" ht="13.8" customHeight="1" x14ac:dyDescent="0.25">
      <c r="A175" s="15"/>
      <c r="B175" s="119"/>
      <c r="C175" s="71"/>
      <c r="D175" s="126"/>
      <c r="E175" s="71"/>
      <c r="F175" s="104"/>
      <c r="G175" s="85"/>
      <c r="H175" s="15"/>
      <c r="I175" s="59"/>
    </row>
    <row r="176" spans="1:9" s="101" customFormat="1" ht="13.8" customHeight="1" x14ac:dyDescent="0.25">
      <c r="A176" s="15"/>
      <c r="B176" s="119"/>
      <c r="C176" s="71" t="s">
        <v>39</v>
      </c>
      <c r="D176" s="1" t="s">
        <v>127</v>
      </c>
      <c r="E176" s="71"/>
      <c r="F176" s="104"/>
      <c r="G176" s="85"/>
      <c r="H176" s="15"/>
      <c r="I176" s="59">
        <v>0.5</v>
      </c>
    </row>
    <row r="177" spans="1:9" s="101" customFormat="1" ht="13.8" customHeight="1" x14ac:dyDescent="0.25">
      <c r="A177" s="15"/>
      <c r="B177" s="119"/>
      <c r="C177" s="71"/>
      <c r="D177" s="126"/>
      <c r="E177" s="71"/>
      <c r="F177" s="104" t="s">
        <v>173</v>
      </c>
      <c r="G177" s="85"/>
      <c r="H177" s="15"/>
      <c r="I177" s="59"/>
    </row>
    <row r="178" spans="1:9" s="101" customFormat="1" ht="13.8" customHeight="1" x14ac:dyDescent="0.25">
      <c r="A178" s="15"/>
      <c r="B178" s="119"/>
      <c r="C178" s="71"/>
      <c r="D178" s="126"/>
      <c r="E178" s="71"/>
      <c r="F178" s="104" t="s">
        <v>128</v>
      </c>
      <c r="G178" s="85"/>
      <c r="H178" s="15"/>
      <c r="I178" s="59"/>
    </row>
    <row r="179" spans="1:9" s="101" customFormat="1" ht="13.8" customHeight="1" x14ac:dyDescent="0.25">
      <c r="A179" s="15"/>
      <c r="B179" s="119"/>
      <c r="C179" s="71"/>
      <c r="D179" s="126"/>
      <c r="E179" s="71"/>
      <c r="F179" s="104" t="s">
        <v>174</v>
      </c>
      <c r="G179" s="85"/>
      <c r="H179" s="15"/>
      <c r="I179" s="59"/>
    </row>
    <row r="180" spans="1:9" s="101" customFormat="1" ht="13.8" customHeight="1" x14ac:dyDescent="0.25">
      <c r="A180" s="15"/>
      <c r="B180" s="119"/>
      <c r="C180" s="71"/>
      <c r="D180" s="126"/>
      <c r="E180" s="71"/>
      <c r="F180" s="104" t="s">
        <v>130</v>
      </c>
      <c r="G180" s="85"/>
      <c r="H180" s="15"/>
      <c r="I180" s="59"/>
    </row>
    <row r="181" spans="1:9" s="107" customFormat="1" ht="13.8" customHeight="1" x14ac:dyDescent="0.25">
      <c r="A181" s="15"/>
      <c r="B181" s="119"/>
      <c r="C181" s="71"/>
      <c r="D181" s="126"/>
      <c r="E181" s="71"/>
      <c r="F181" s="104"/>
      <c r="G181" s="85"/>
      <c r="H181" s="15"/>
      <c r="I181" s="59"/>
    </row>
    <row r="182" spans="1:9" s="107" customFormat="1" ht="13.8" customHeight="1" x14ac:dyDescent="0.25">
      <c r="A182" s="15"/>
      <c r="B182" s="119"/>
      <c r="C182" s="71" t="s">
        <v>39</v>
      </c>
      <c r="D182" s="1" t="s">
        <v>214</v>
      </c>
      <c r="E182" s="123"/>
      <c r="F182" s="105"/>
      <c r="G182" s="85"/>
      <c r="H182" s="15"/>
      <c r="I182" s="58">
        <v>0.9</v>
      </c>
    </row>
    <row r="183" spans="1:9" s="107" customFormat="1" ht="13.8" customHeight="1" x14ac:dyDescent="0.25">
      <c r="A183" s="15"/>
      <c r="B183" s="119"/>
      <c r="C183" s="71"/>
      <c r="D183" s="57"/>
      <c r="E183" s="123"/>
      <c r="F183" s="105" t="s">
        <v>181</v>
      </c>
      <c r="G183" s="85"/>
      <c r="H183" s="15"/>
      <c r="I183" s="58"/>
    </row>
    <row r="184" spans="1:9" s="107" customFormat="1" ht="13.8" customHeight="1" x14ac:dyDescent="0.25">
      <c r="A184" s="15"/>
      <c r="B184" s="119"/>
      <c r="C184" s="71"/>
      <c r="D184" s="57"/>
      <c r="E184" s="123"/>
      <c r="F184" s="105" t="s">
        <v>182</v>
      </c>
      <c r="G184" s="85"/>
      <c r="H184" s="15"/>
      <c r="I184" s="58"/>
    </row>
    <row r="185" spans="1:9" s="107" customFormat="1" ht="13.8" customHeight="1" x14ac:dyDescent="0.25">
      <c r="A185" s="15"/>
      <c r="B185" s="119"/>
      <c r="C185" s="71"/>
      <c r="D185" s="57"/>
      <c r="E185" s="123"/>
      <c r="F185" s="105" t="s">
        <v>185</v>
      </c>
      <c r="G185" s="85"/>
      <c r="H185" s="15"/>
      <c r="I185" s="58"/>
    </row>
    <row r="186" spans="1:9" s="107" customFormat="1" ht="13.8" customHeight="1" x14ac:dyDescent="0.25">
      <c r="A186" s="15"/>
      <c r="B186" s="119"/>
      <c r="C186" s="71"/>
      <c r="D186" s="57"/>
      <c r="E186" s="123"/>
      <c r="F186" s="105" t="s">
        <v>183</v>
      </c>
      <c r="G186" s="85"/>
      <c r="H186" s="15"/>
      <c r="I186" s="58"/>
    </row>
    <row r="187" spans="1:9" s="107" customFormat="1" ht="13.8" customHeight="1" x14ac:dyDescent="0.25">
      <c r="A187" s="15"/>
      <c r="B187" s="119"/>
      <c r="C187" s="71"/>
      <c r="D187" s="57"/>
      <c r="E187" s="123"/>
      <c r="F187" s="105" t="s">
        <v>184</v>
      </c>
      <c r="G187" s="85"/>
      <c r="H187" s="15"/>
      <c r="I187" s="58"/>
    </row>
    <row r="188" spans="1:9" s="107" customFormat="1" ht="13.8" customHeight="1" x14ac:dyDescent="0.25">
      <c r="A188" s="15"/>
      <c r="B188" s="119"/>
      <c r="C188" s="71"/>
      <c r="D188" s="57"/>
      <c r="E188" s="123"/>
      <c r="F188" s="105" t="s">
        <v>186</v>
      </c>
      <c r="G188" s="85"/>
      <c r="H188" s="15"/>
      <c r="I188" s="58"/>
    </row>
    <row r="189" spans="1:9" s="107" customFormat="1" ht="13.8" customHeight="1" x14ac:dyDescent="0.25">
      <c r="A189" s="15"/>
      <c r="B189" s="119"/>
      <c r="C189" s="71"/>
      <c r="D189" s="57"/>
      <c r="E189" s="123" t="s">
        <v>31</v>
      </c>
      <c r="F189" s="105" t="s">
        <v>226</v>
      </c>
      <c r="G189" s="85" t="s">
        <v>31</v>
      </c>
      <c r="H189" s="15"/>
      <c r="I189" s="58"/>
    </row>
    <row r="190" spans="1:9" s="107" customFormat="1" ht="13.8" customHeight="1" x14ac:dyDescent="0.25">
      <c r="A190" s="15"/>
      <c r="B190" s="119"/>
      <c r="C190" s="71"/>
      <c r="D190" s="68"/>
      <c r="E190" s="123"/>
      <c r="F190" s="105" t="s">
        <v>227</v>
      </c>
      <c r="G190" s="85"/>
      <c r="H190" s="15"/>
      <c r="I190" s="58"/>
    </row>
    <row r="191" spans="1:9" s="107" customFormat="1" ht="13.8" customHeight="1" x14ac:dyDescent="0.25">
      <c r="A191" s="15"/>
      <c r="B191" s="119"/>
      <c r="C191" s="71"/>
      <c r="D191" s="126"/>
      <c r="E191" s="71"/>
      <c r="F191" s="104"/>
      <c r="G191" s="85"/>
      <c r="H191" s="15"/>
      <c r="I191" s="59"/>
    </row>
    <row r="192" spans="1:9" s="100" customFormat="1" ht="13.8" customHeight="1" x14ac:dyDescent="0.25">
      <c r="A192" s="15"/>
      <c r="B192" s="119"/>
      <c r="C192" s="71"/>
      <c r="D192" s="68"/>
      <c r="E192" s="71"/>
      <c r="F192" s="103"/>
      <c r="G192" s="85"/>
      <c r="H192" s="15"/>
      <c r="I192" s="58"/>
    </row>
    <row r="193" spans="1:12" ht="13.8" customHeight="1" thickBot="1" x14ac:dyDescent="0.3">
      <c r="A193" s="15" t="s">
        <v>31</v>
      </c>
      <c r="B193" s="117" t="s">
        <v>31</v>
      </c>
      <c r="C193" s="71" t="s">
        <v>31</v>
      </c>
      <c r="D193" s="117" t="s">
        <v>31</v>
      </c>
      <c r="E193" s="71" t="s">
        <v>31</v>
      </c>
      <c r="F193" s="131" t="s">
        <v>31</v>
      </c>
      <c r="G193" s="14" t="s">
        <v>31</v>
      </c>
      <c r="H193" s="15"/>
      <c r="I193" s="17"/>
    </row>
    <row r="194" spans="1:12" ht="13.8" customHeight="1" thickBot="1" x14ac:dyDescent="0.3">
      <c r="A194" s="44" t="s">
        <v>15</v>
      </c>
      <c r="B194" s="54" t="s">
        <v>16</v>
      </c>
      <c r="C194" s="54" t="s">
        <v>6</v>
      </c>
      <c r="D194" s="54" t="s">
        <v>1</v>
      </c>
      <c r="E194" s="54" t="s">
        <v>2</v>
      </c>
      <c r="F194" s="54" t="s">
        <v>8</v>
      </c>
      <c r="G194" s="45" t="s">
        <v>9</v>
      </c>
      <c r="H194" s="46" t="s">
        <v>3</v>
      </c>
      <c r="I194" s="47" t="s">
        <v>4</v>
      </c>
      <c r="J194" s="48" t="s">
        <v>38</v>
      </c>
      <c r="K194" s="49" t="s">
        <v>5</v>
      </c>
      <c r="L194" s="50">
        <f>SUM(I195:I202)</f>
        <v>1</v>
      </c>
    </row>
    <row r="195" spans="1:12" ht="13.8" customHeight="1" x14ac:dyDescent="0.25">
      <c r="A195" s="15" t="s">
        <v>133</v>
      </c>
      <c r="B195" s="117" t="s">
        <v>134</v>
      </c>
      <c r="C195" s="71" t="s">
        <v>39</v>
      </c>
      <c r="D195" s="1" t="s">
        <v>129</v>
      </c>
      <c r="E195" s="123"/>
      <c r="F195" s="105"/>
      <c r="G195" s="85"/>
      <c r="H195" s="15"/>
      <c r="I195" s="58">
        <v>1</v>
      </c>
    </row>
    <row r="196" spans="1:12" s="100" customFormat="1" ht="13.8" customHeight="1" x14ac:dyDescent="0.25">
      <c r="A196" s="15"/>
      <c r="B196" s="119"/>
      <c r="C196" s="71"/>
      <c r="D196" s="57"/>
      <c r="E196" s="123"/>
      <c r="F196" s="104" t="s">
        <v>139</v>
      </c>
      <c r="G196" s="85"/>
      <c r="H196" s="15"/>
      <c r="I196" s="58"/>
    </row>
    <row r="197" spans="1:12" s="100" customFormat="1" ht="13.8" customHeight="1" x14ac:dyDescent="0.25">
      <c r="A197" s="15"/>
      <c r="B197" s="119"/>
      <c r="C197" s="71"/>
      <c r="D197" s="57"/>
      <c r="E197" s="123"/>
      <c r="F197" s="104" t="s">
        <v>140</v>
      </c>
      <c r="G197" s="85"/>
      <c r="H197" s="15"/>
      <c r="I197" s="58"/>
    </row>
    <row r="198" spans="1:12" s="100" customFormat="1" ht="13.8" customHeight="1" x14ac:dyDescent="0.25">
      <c r="A198" s="15"/>
      <c r="B198" s="119"/>
      <c r="C198" s="71"/>
      <c r="D198" s="119"/>
      <c r="E198" s="71"/>
      <c r="F198" s="104" t="s">
        <v>141</v>
      </c>
      <c r="G198" s="85"/>
      <c r="H198" s="15"/>
      <c r="I198" s="59"/>
    </row>
    <row r="199" spans="1:12" s="100" customFormat="1" ht="13.8" customHeight="1" x14ac:dyDescent="0.25">
      <c r="A199" s="15"/>
      <c r="B199" s="119"/>
      <c r="C199" s="71"/>
      <c r="D199" s="119"/>
      <c r="E199" s="71"/>
      <c r="F199" s="104" t="s">
        <v>142</v>
      </c>
      <c r="G199" s="85"/>
      <c r="H199" s="15"/>
      <c r="I199" s="59"/>
    </row>
    <row r="200" spans="1:12" s="100" customFormat="1" ht="13.8" customHeight="1" x14ac:dyDescent="0.25">
      <c r="A200" s="15"/>
      <c r="B200" s="119"/>
      <c r="C200" s="71"/>
      <c r="D200" s="119"/>
      <c r="E200" s="71"/>
      <c r="F200" s="119"/>
      <c r="G200" s="85"/>
      <c r="H200" s="15"/>
      <c r="I200" s="59"/>
    </row>
    <row r="201" spans="1:12" s="100" customFormat="1" ht="13.8" customHeight="1" x14ac:dyDescent="0.25">
      <c r="A201" s="15"/>
      <c r="B201" s="119"/>
      <c r="C201" s="71"/>
      <c r="D201" s="119"/>
      <c r="E201" s="71"/>
      <c r="F201" s="119"/>
      <c r="G201" s="85"/>
      <c r="H201" s="15"/>
      <c r="I201" s="59"/>
    </row>
    <row r="202" spans="1:12" ht="13.8" customHeight="1" thickBot="1" x14ac:dyDescent="0.3">
      <c r="A202" s="96" t="s">
        <v>31</v>
      </c>
      <c r="B202" s="132" t="s">
        <v>31</v>
      </c>
      <c r="C202" s="133" t="s">
        <v>31</v>
      </c>
      <c r="D202" s="132" t="s">
        <v>31</v>
      </c>
      <c r="E202" s="133" t="s">
        <v>31</v>
      </c>
      <c r="F202" s="132" t="s">
        <v>31</v>
      </c>
      <c r="G202" s="97" t="s">
        <v>31</v>
      </c>
      <c r="H202" s="98"/>
      <c r="I202" s="99"/>
      <c r="J202" s="51"/>
      <c r="K202" s="52"/>
      <c r="L202" s="53"/>
    </row>
  </sheetData>
  <mergeCells count="21">
    <mergeCell ref="B20:J20"/>
    <mergeCell ref="B21:J21"/>
    <mergeCell ref="B22:J22"/>
    <mergeCell ref="B23:J23"/>
    <mergeCell ref="B24:J24"/>
    <mergeCell ref="B15:J15"/>
    <mergeCell ref="B16:J16"/>
    <mergeCell ref="B17:J17"/>
    <mergeCell ref="B18:J18"/>
    <mergeCell ref="B19:J19"/>
    <mergeCell ref="B7:H7"/>
    <mergeCell ref="B8:H8"/>
    <mergeCell ref="I11:J11"/>
    <mergeCell ref="B10:H10"/>
    <mergeCell ref="A14:K14"/>
    <mergeCell ref="B9:H9"/>
    <mergeCell ref="B4:H4"/>
    <mergeCell ref="A3:K3"/>
    <mergeCell ref="A1:K1"/>
    <mergeCell ref="B5:H5"/>
    <mergeCell ref="B6:H6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4"/>
  <sheetViews>
    <sheetView topLeftCell="A7" workbookViewId="0">
      <selection activeCell="G23" sqref="G23"/>
    </sheetView>
  </sheetViews>
  <sheetFormatPr defaultColWidth="8.77734375" defaultRowHeight="13.2" x14ac:dyDescent="0.25"/>
  <cols>
    <col min="1" max="1" width="6.44140625" style="1" customWidth="1"/>
    <col min="2" max="2" width="14.21875" style="1" customWidth="1"/>
    <col min="3" max="3" width="7.109375" style="1" customWidth="1"/>
    <col min="4" max="5" width="9.88671875" style="1" customWidth="1"/>
    <col min="6" max="6" width="21.5546875" style="1" bestFit="1" customWidth="1"/>
    <col min="7" max="7" width="23.109375" style="1" customWidth="1"/>
    <col min="8" max="16384" width="8.77734375" style="1"/>
  </cols>
  <sheetData>
    <row r="2" spans="1:8" x14ac:dyDescent="0.25">
      <c r="C2" s="92" t="s">
        <v>64</v>
      </c>
      <c r="D2" s="92" t="s">
        <v>65</v>
      </c>
      <c r="E2" s="92" t="s">
        <v>69</v>
      </c>
      <c r="F2" s="161" t="s">
        <v>66</v>
      </c>
      <c r="G2" s="162"/>
      <c r="H2" s="92" t="s">
        <v>67</v>
      </c>
    </row>
    <row r="3" spans="1:8" x14ac:dyDescent="0.25">
      <c r="A3" s="163" t="s">
        <v>54</v>
      </c>
      <c r="B3" s="91" t="s">
        <v>62</v>
      </c>
      <c r="C3" s="91" t="s">
        <v>68</v>
      </c>
      <c r="D3" s="91" t="s">
        <v>68</v>
      </c>
      <c r="E3" s="91" t="s">
        <v>68</v>
      </c>
      <c r="F3" s="93" t="s">
        <v>70</v>
      </c>
      <c r="G3" s="93"/>
      <c r="H3" s="93"/>
    </row>
    <row r="4" spans="1:8" x14ac:dyDescent="0.25">
      <c r="A4" s="164"/>
      <c r="B4" s="91"/>
      <c r="C4" s="91"/>
      <c r="D4" s="91"/>
      <c r="E4" s="91"/>
      <c r="F4" s="93"/>
      <c r="G4" s="93" t="s">
        <v>71</v>
      </c>
      <c r="H4" s="93" t="s">
        <v>40</v>
      </c>
    </row>
    <row r="5" spans="1:8" x14ac:dyDescent="0.25">
      <c r="A5" s="164"/>
      <c r="B5" s="91"/>
      <c r="C5" s="91"/>
      <c r="D5" s="91"/>
      <c r="E5" s="91"/>
      <c r="F5" s="93"/>
      <c r="G5" s="93" t="s">
        <v>72</v>
      </c>
      <c r="H5" s="93" t="s">
        <v>40</v>
      </c>
    </row>
    <row r="6" spans="1:8" x14ac:dyDescent="0.25">
      <c r="A6" s="164"/>
      <c r="B6" s="91"/>
      <c r="C6" s="91"/>
      <c r="D6" s="91"/>
      <c r="E6" s="91"/>
      <c r="F6" s="93"/>
      <c r="G6" s="93" t="s">
        <v>73</v>
      </c>
      <c r="H6" s="93" t="s">
        <v>40</v>
      </c>
    </row>
    <row r="7" spans="1:8" x14ac:dyDescent="0.25">
      <c r="A7" s="164"/>
      <c r="B7" s="91"/>
      <c r="C7" s="91"/>
      <c r="D7" s="91"/>
      <c r="E7" s="91"/>
      <c r="F7" s="93"/>
      <c r="G7" s="93" t="s">
        <v>74</v>
      </c>
      <c r="H7" s="93" t="s">
        <v>75</v>
      </c>
    </row>
    <row r="8" spans="1:8" x14ac:dyDescent="0.25">
      <c r="A8" s="164"/>
      <c r="B8" s="91"/>
      <c r="C8" s="91"/>
      <c r="D8" s="91"/>
      <c r="E8" s="91"/>
      <c r="F8" s="93" t="s">
        <v>76</v>
      </c>
      <c r="G8" s="93"/>
      <c r="H8" s="93"/>
    </row>
    <row r="9" spans="1:8" x14ac:dyDescent="0.25">
      <c r="A9" s="164"/>
      <c r="B9" s="91"/>
      <c r="C9" s="91"/>
      <c r="D9" s="91"/>
      <c r="E9" s="91"/>
      <c r="F9" s="93"/>
      <c r="G9" s="93" t="s">
        <v>77</v>
      </c>
      <c r="H9" s="93" t="s">
        <v>40</v>
      </c>
    </row>
    <row r="10" spans="1:8" x14ac:dyDescent="0.25">
      <c r="A10" s="164"/>
      <c r="B10" s="91"/>
      <c r="C10" s="91"/>
      <c r="D10" s="91"/>
      <c r="E10" s="91"/>
      <c r="F10" s="93"/>
      <c r="G10" s="93" t="s">
        <v>78</v>
      </c>
      <c r="H10" s="93" t="s">
        <v>75</v>
      </c>
    </row>
    <row r="11" spans="1:8" x14ac:dyDescent="0.25">
      <c r="A11" s="164"/>
      <c r="B11" s="91"/>
      <c r="C11" s="91"/>
      <c r="D11" s="91"/>
      <c r="E11" s="91"/>
      <c r="F11" s="93"/>
      <c r="G11" s="93" t="s">
        <v>79</v>
      </c>
      <c r="H11" s="93" t="s">
        <v>40</v>
      </c>
    </row>
    <row r="12" spans="1:8" x14ac:dyDescent="0.25">
      <c r="A12" s="164"/>
      <c r="B12" s="91"/>
      <c r="C12" s="91"/>
      <c r="D12" s="91"/>
      <c r="E12" s="91"/>
      <c r="F12" s="93" t="s">
        <v>80</v>
      </c>
      <c r="G12" s="93"/>
      <c r="H12" s="93"/>
    </row>
    <row r="13" spans="1:8" x14ac:dyDescent="0.25">
      <c r="A13" s="164"/>
      <c r="B13" s="91"/>
      <c r="C13" s="91"/>
      <c r="D13" s="91"/>
      <c r="E13" s="91"/>
      <c r="F13" s="93"/>
      <c r="G13" s="93" t="s">
        <v>81</v>
      </c>
      <c r="H13" s="93" t="s">
        <v>40</v>
      </c>
    </row>
    <row r="14" spans="1:8" x14ac:dyDescent="0.25">
      <c r="A14" s="164"/>
      <c r="B14" s="91"/>
      <c r="C14" s="91"/>
      <c r="D14" s="91"/>
      <c r="E14" s="91"/>
      <c r="F14" s="93"/>
      <c r="G14" s="93" t="s">
        <v>82</v>
      </c>
      <c r="H14" s="93" t="s">
        <v>40</v>
      </c>
    </row>
    <row r="15" spans="1:8" x14ac:dyDescent="0.25">
      <c r="A15" s="164"/>
      <c r="B15" s="91"/>
      <c r="C15" s="91"/>
      <c r="D15" s="91"/>
      <c r="E15" s="91"/>
      <c r="F15" s="93" t="s">
        <v>83</v>
      </c>
      <c r="G15" s="93"/>
      <c r="H15" s="93"/>
    </row>
    <row r="16" spans="1:8" x14ac:dyDescent="0.25">
      <c r="A16" s="164"/>
      <c r="B16" s="91"/>
      <c r="C16" s="91"/>
      <c r="D16" s="91"/>
      <c r="E16" s="91"/>
      <c r="F16" s="93"/>
      <c r="G16" s="93" t="s">
        <v>84</v>
      </c>
      <c r="H16" s="93" t="s">
        <v>40</v>
      </c>
    </row>
    <row r="17" spans="1:8" x14ac:dyDescent="0.25">
      <c r="A17" s="164"/>
      <c r="B17" s="91"/>
      <c r="C17" s="91"/>
      <c r="D17" s="91"/>
      <c r="E17" s="91"/>
      <c r="F17" s="93"/>
      <c r="G17" s="93" t="s">
        <v>85</v>
      </c>
      <c r="H17" s="93" t="s">
        <v>40</v>
      </c>
    </row>
    <row r="18" spans="1:8" x14ac:dyDescent="0.25">
      <c r="A18" s="164"/>
      <c r="B18" s="91"/>
      <c r="C18" s="91"/>
      <c r="D18" s="91"/>
      <c r="E18" s="91"/>
      <c r="F18" s="93"/>
      <c r="G18" s="93" t="s">
        <v>86</v>
      </c>
      <c r="H18" s="93" t="s">
        <v>40</v>
      </c>
    </row>
    <row r="19" spans="1:8" x14ac:dyDescent="0.25">
      <c r="A19" s="164"/>
      <c r="B19" s="91"/>
      <c r="C19" s="91"/>
      <c r="D19" s="91"/>
      <c r="E19" s="91"/>
      <c r="F19" s="93"/>
      <c r="G19" s="93" t="s">
        <v>87</v>
      </c>
      <c r="H19" s="93" t="s">
        <v>40</v>
      </c>
    </row>
    <row r="20" spans="1:8" x14ac:dyDescent="0.25">
      <c r="A20" s="164"/>
      <c r="B20" s="91"/>
      <c r="C20" s="91"/>
      <c r="D20" s="91"/>
      <c r="E20" s="91"/>
      <c r="F20" s="93" t="s">
        <v>98</v>
      </c>
      <c r="G20" s="93"/>
      <c r="H20" s="93"/>
    </row>
    <row r="21" spans="1:8" x14ac:dyDescent="0.25">
      <c r="A21" s="164"/>
      <c r="B21" s="91"/>
      <c r="C21" s="91"/>
      <c r="D21" s="91"/>
      <c r="E21" s="91"/>
      <c r="F21" s="93"/>
      <c r="G21" s="93" t="s">
        <v>99</v>
      </c>
      <c r="H21" s="93" t="s">
        <v>100</v>
      </c>
    </row>
    <row r="22" spans="1:8" x14ac:dyDescent="0.25">
      <c r="A22" s="164"/>
      <c r="B22" s="91"/>
      <c r="C22" s="91"/>
      <c r="D22" s="91"/>
      <c r="E22" s="91"/>
      <c r="F22" s="93"/>
      <c r="G22" s="93" t="s">
        <v>67</v>
      </c>
      <c r="H22" s="93" t="s">
        <v>100</v>
      </c>
    </row>
    <row r="23" spans="1:8" x14ac:dyDescent="0.25">
      <c r="A23" s="164"/>
      <c r="B23" s="91"/>
      <c r="C23" s="91"/>
      <c r="D23" s="91"/>
      <c r="E23" s="91"/>
      <c r="F23" s="93" t="s">
        <v>93</v>
      </c>
      <c r="G23" s="93"/>
      <c r="H23" s="93"/>
    </row>
    <row r="24" spans="1:8" x14ac:dyDescent="0.25">
      <c r="A24" s="164"/>
      <c r="B24" s="91"/>
      <c r="C24" s="91"/>
      <c r="D24" s="91"/>
      <c r="E24" s="91"/>
      <c r="F24" s="93"/>
      <c r="G24" s="93" t="s">
        <v>94</v>
      </c>
      <c r="H24" s="93" t="s">
        <v>40</v>
      </c>
    </row>
    <row r="25" spans="1:8" x14ac:dyDescent="0.25">
      <c r="A25" s="164"/>
      <c r="B25" s="91"/>
      <c r="C25" s="91"/>
      <c r="D25" s="91"/>
      <c r="E25" s="91"/>
      <c r="F25" s="93"/>
      <c r="G25" s="93" t="s">
        <v>95</v>
      </c>
      <c r="H25" s="93" t="s">
        <v>40</v>
      </c>
    </row>
    <row r="26" spans="1:8" x14ac:dyDescent="0.25">
      <c r="A26" s="164"/>
      <c r="B26" s="91"/>
      <c r="C26" s="91"/>
      <c r="D26" s="91"/>
      <c r="E26" s="91"/>
      <c r="F26" s="93"/>
      <c r="G26" s="93" t="s">
        <v>96</v>
      </c>
      <c r="H26" s="93" t="s">
        <v>75</v>
      </c>
    </row>
    <row r="27" spans="1:8" x14ac:dyDescent="0.25">
      <c r="A27" s="164"/>
      <c r="B27" s="91"/>
      <c r="C27" s="91"/>
      <c r="D27" s="91"/>
      <c r="E27" s="91"/>
      <c r="F27" s="93" t="s">
        <v>88</v>
      </c>
      <c r="G27" s="93"/>
      <c r="H27" s="93"/>
    </row>
    <row r="28" spans="1:8" x14ac:dyDescent="0.25">
      <c r="A28" s="164"/>
      <c r="B28" s="91"/>
      <c r="C28" s="91"/>
      <c r="D28" s="91"/>
      <c r="E28" s="91"/>
      <c r="F28" s="93"/>
      <c r="G28" s="93" t="s">
        <v>89</v>
      </c>
      <c r="H28" s="93" t="s">
        <v>40</v>
      </c>
    </row>
    <row r="29" spans="1:8" x14ac:dyDescent="0.25">
      <c r="A29" s="164"/>
      <c r="B29" s="91"/>
      <c r="C29" s="91"/>
      <c r="D29" s="91"/>
      <c r="E29" s="91"/>
      <c r="F29" s="93"/>
      <c r="G29" s="93" t="s">
        <v>90</v>
      </c>
      <c r="H29" s="93" t="s">
        <v>75</v>
      </c>
    </row>
    <row r="30" spans="1:8" x14ac:dyDescent="0.25">
      <c r="A30" s="164"/>
      <c r="B30" s="91"/>
      <c r="C30" s="91"/>
      <c r="D30" s="91"/>
      <c r="E30" s="91"/>
      <c r="F30" s="93"/>
      <c r="G30" s="93" t="s">
        <v>67</v>
      </c>
      <c r="H30" s="93" t="s">
        <v>75</v>
      </c>
    </row>
    <row r="31" spans="1:8" x14ac:dyDescent="0.25">
      <c r="A31" s="164"/>
      <c r="B31" s="91"/>
      <c r="C31" s="91"/>
      <c r="D31" s="91"/>
      <c r="E31" s="91"/>
      <c r="F31" s="93"/>
      <c r="G31" s="93" t="s">
        <v>91</v>
      </c>
      <c r="H31" s="93" t="s">
        <v>40</v>
      </c>
    </row>
    <row r="32" spans="1:8" x14ac:dyDescent="0.25">
      <c r="A32" s="164"/>
      <c r="B32" s="91"/>
      <c r="C32" s="91"/>
      <c r="D32" s="91"/>
      <c r="E32" s="91"/>
      <c r="F32" s="93"/>
      <c r="G32" s="93" t="s">
        <v>92</v>
      </c>
      <c r="H32" s="93" t="s">
        <v>75</v>
      </c>
    </row>
    <row r="33" spans="1:8" x14ac:dyDescent="0.25">
      <c r="A33" s="165"/>
      <c r="B33" s="91"/>
      <c r="C33" s="91"/>
      <c r="D33" s="91"/>
      <c r="E33" s="91"/>
      <c r="F33" s="93" t="s">
        <v>97</v>
      </c>
      <c r="G33" s="93"/>
      <c r="H33" s="93" t="s">
        <v>75</v>
      </c>
    </row>
    <row r="34" spans="1:8" x14ac:dyDescent="0.25">
      <c r="A34" s="1" t="s">
        <v>55</v>
      </c>
      <c r="B34" s="1" t="s">
        <v>56</v>
      </c>
    </row>
    <row r="41" spans="1:8" x14ac:dyDescent="0.25">
      <c r="A41" s="1" t="s">
        <v>57</v>
      </c>
      <c r="B41" s="1" t="s">
        <v>58</v>
      </c>
    </row>
    <row r="42" spans="1:8" x14ac:dyDescent="0.25">
      <c r="A42" s="1" t="s">
        <v>57</v>
      </c>
      <c r="B42" s="1" t="s">
        <v>59</v>
      </c>
    </row>
    <row r="43" spans="1:8" x14ac:dyDescent="0.25">
      <c r="A43" s="1" t="s">
        <v>60</v>
      </c>
      <c r="B43" s="1" t="s">
        <v>61</v>
      </c>
    </row>
    <row r="44" spans="1:8" x14ac:dyDescent="0.25">
      <c r="B44" s="1" t="s">
        <v>63</v>
      </c>
    </row>
  </sheetData>
  <mergeCells count="2">
    <mergeCell ref="F2:G2"/>
    <mergeCell ref="A3:A33"/>
  </mergeCells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CIS Marking Scheme Import</vt:lpstr>
      <vt:lpstr>CheckList</vt:lpstr>
      <vt:lpstr>'CIS Marking Scheme Import'!_Toc50044236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Lidiane</cp:lastModifiedBy>
  <cp:lastPrinted>2010-04-28T04:08:36Z</cp:lastPrinted>
  <dcterms:created xsi:type="dcterms:W3CDTF">2010-04-27T04:25:00Z</dcterms:created>
  <dcterms:modified xsi:type="dcterms:W3CDTF">2022-01-24T12:25:27Z</dcterms:modified>
</cp:coreProperties>
</file>